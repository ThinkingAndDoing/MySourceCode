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embeddings/oleObject3.bin" ContentType="application/vnd.openxmlformats-officedocument.oleObject"/>
  <Default Extension="emf" ContentType="image/x-emf"/>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embeddings/oleObject1.bin" ContentType="application/vnd.openxmlformats-officedocument.oleObject"/>
  <Override PartName="/xl/embeddings/oleObject2.bin" ContentType="application/vnd.openxmlformats-officedocument.oleObject"/>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DieseArbeitsmappe" defaultThemeVersion="124226"/>
  <bookViews>
    <workbookView xWindow="4545" yWindow="1470" windowWidth="14595" windowHeight="5055" tabRatio="785" activeTab="5"/>
  </bookViews>
  <sheets>
    <sheet name="AppWarningConfig" sheetId="39" r:id="rId1"/>
    <sheet name="WarningConfig" sheetId="25" r:id="rId2"/>
    <sheet name="WarningHelper" sheetId="26" r:id="rId3"/>
    <sheet name="WrnTextTobeGenerated" sheetId="33" r:id="rId4"/>
    <sheet name="Sheet2" sheetId="27" state="hidden" r:id="rId5"/>
    <sheet name="UEInput" sheetId="28" r:id="rId6"/>
  </sheets>
  <externalReferences>
    <externalReference r:id="rId7"/>
    <externalReference r:id="rId8"/>
    <externalReference r:id="rId9"/>
  </externalReferences>
  <definedNames>
    <definedName name="_xlnm._FilterDatabase" localSheetId="0" hidden="1">AppWarningConfig!$A$1:$O$1232</definedName>
    <definedName name="_xlnm._FilterDatabase" localSheetId="5" hidden="1">UEInput!$U$1:$U$211</definedName>
    <definedName name="_xlnm._FilterDatabase" localSheetId="1" hidden="1">WarningConfig!$A$1:$T$182</definedName>
    <definedName name="_xlnm._FilterDatabase" localSheetId="3" hidden="1">WrnTextTobeGenerated!$A$1:$A$127</definedName>
    <definedName name="CAM_Cycle" localSheetId="0">[1]Configure!$B$4</definedName>
    <definedName name="CAM_Cycle">[2]__data__!$F$1:$F$5</definedName>
    <definedName name="Color_Type" localSheetId="0">[1]__data__!$G$1:$G$5</definedName>
    <definedName name="Color_Type">[2]__data__!$G$1:$G$5</definedName>
    <definedName name="Cycle" localSheetId="0">[1]__data__!$F$1:$F$5</definedName>
    <definedName name="Cycle">[3]__data__!$F$1:$F$5</definedName>
    <definedName name="dd">isnotnull(#REF!)</definedName>
    <definedName name="Enable" localSheetId="0">[1]__data__!$E$1:$E$3</definedName>
    <definedName name="Enable">[2]__data__!$E$1:$E$3</definedName>
    <definedName name="HookEn" localSheetId="0">[1]__data__!$H$1:$H$2</definedName>
    <definedName name="HookEn">[2]__data__!$H$1:$H$2</definedName>
    <definedName name="myrange">#REF!+#REF!</definedName>
    <definedName name="myrange1">#REF!</definedName>
    <definedName name="OLE_LINK106" localSheetId="1">WarningConfig!#REF!</definedName>
    <definedName name="OLE_LINK11" localSheetId="1">WarningConfig!#REF!</definedName>
    <definedName name="OLE_LINK133" localSheetId="1">WarningConfig!#REF!</definedName>
    <definedName name="OLE_LINK147" localSheetId="1">WarningConfig!#REF!</definedName>
    <definedName name="OLE_LINK149" localSheetId="1">WarningConfig!#REF!</definedName>
    <definedName name="OLE_LINK163" localSheetId="1">WarningConfig!#REF!</definedName>
    <definedName name="OLE_LINK173" localSheetId="1">WarningConfig!#REF!</definedName>
    <definedName name="OLE_LINK201" localSheetId="1">WarningConfig!#REF!</definedName>
    <definedName name="OLE_LINK207" localSheetId="1">WarningConfig!#REF!</definedName>
    <definedName name="OLE_LINK56" localSheetId="1">WarningConfig!#REF!</definedName>
    <definedName name="OLE_LINK7" localSheetId="1">WarningConfig!#REF!</definedName>
    <definedName name="PreCheck" localSheetId="0">[1]__data__!$B$1:$B$3</definedName>
    <definedName name="PreCheck">[2]__data__!$B$1:$B$3</definedName>
    <definedName name="Prj_Type" localSheetId="0">[1]__data__!$D$1:$D$5</definedName>
    <definedName name="Prj_Type">[3]__data__!$D$1:$D$5</definedName>
    <definedName name="Timer_Cycle" localSheetId="0">[1]Configure!$B$5</definedName>
    <definedName name="Timer_Cycle">[2]__data__!$F$1:$F$5</definedName>
    <definedName name="True_False" localSheetId="0">[1]__data__!$A$1:$A$2</definedName>
    <definedName name="True_False">[2]__data__!$A$1:$A$2</definedName>
    <definedName name="UE_Gategory">[2]__data__!$M$2:$M$5</definedName>
    <definedName name="WRN_ID">#REF!</definedName>
    <definedName name="WRN_Type" localSheetId="0">[1]__data__!$C$1:$C$3</definedName>
    <definedName name="WRN_Type">[2]__data__!$C$1:$C$3</definedName>
  </definedNames>
  <calcPr calcId="125725"/>
  <fileRecoveryPr repairLoad="1"/>
</workbook>
</file>

<file path=xl/calcChain.xml><?xml version="1.0" encoding="utf-8"?>
<calcChain xmlns="http://schemas.openxmlformats.org/spreadsheetml/2006/main">
  <c r="Q49" i="25"/>
  <c r="Q50"/>
  <c r="R50" s="1"/>
  <c r="Q51"/>
  <c r="R51" s="1"/>
  <c r="Q52"/>
  <c r="R52" s="1"/>
  <c r="Q53"/>
  <c r="R53" s="1"/>
  <c r="Q54"/>
  <c r="Q55"/>
  <c r="Q56"/>
  <c r="Q57"/>
  <c r="Q58"/>
  <c r="R58" s="1"/>
  <c r="Q59"/>
  <c r="R59" s="1"/>
  <c r="Q60"/>
  <c r="R60" s="1"/>
  <c r="Q61"/>
  <c r="R61" s="1"/>
  <c r="Q62"/>
  <c r="Q63"/>
  <c r="Q64"/>
  <c r="Q65"/>
  <c r="Q66"/>
  <c r="R66" s="1"/>
  <c r="Q67"/>
  <c r="R67" s="1"/>
  <c r="Q68"/>
  <c r="R68" s="1"/>
  <c r="Q69"/>
  <c r="R69" s="1"/>
  <c r="Q70"/>
  <c r="Q71"/>
  <c r="Q72"/>
  <c r="Q73"/>
  <c r="Q74"/>
  <c r="R74" s="1"/>
  <c r="Q75"/>
  <c r="R75" s="1"/>
  <c r="Q76"/>
  <c r="R76" s="1"/>
  <c r="Q77"/>
  <c r="R77" s="1"/>
  <c r="Q78"/>
  <c r="Q79"/>
  <c r="Q80"/>
  <c r="Q81"/>
  <c r="Q82"/>
  <c r="R82" s="1"/>
  <c r="Q83"/>
  <c r="R83" s="1"/>
  <c r="Q84"/>
  <c r="R84" s="1"/>
  <c r="Q85"/>
  <c r="Q86"/>
  <c r="Q87"/>
  <c r="Q88"/>
  <c r="Q89"/>
  <c r="Q90"/>
  <c r="R90" s="1"/>
  <c r="Q91"/>
  <c r="R91" s="1"/>
  <c r="Q92"/>
  <c r="R92" s="1"/>
  <c r="Q93"/>
  <c r="Q94"/>
  <c r="Q95"/>
  <c r="Q96"/>
  <c r="Q97"/>
  <c r="Q98"/>
  <c r="R98" s="1"/>
  <c r="Q99"/>
  <c r="R99" s="1"/>
  <c r="Q100"/>
  <c r="R100" s="1"/>
  <c r="Q101"/>
  <c r="Q102"/>
  <c r="Q103"/>
  <c r="Q104"/>
  <c r="Q105"/>
  <c r="Q106"/>
  <c r="R106" s="1"/>
  <c r="Q107"/>
  <c r="R107" s="1"/>
  <c r="Q108"/>
  <c r="R108" s="1"/>
  <c r="Q109"/>
  <c r="Q110"/>
  <c r="Q111"/>
  <c r="Q112"/>
  <c r="Q113"/>
  <c r="Q114"/>
  <c r="R114" s="1"/>
  <c r="Q115"/>
  <c r="R115" s="1"/>
  <c r="Q116"/>
  <c r="R116" s="1"/>
  <c r="Q117"/>
  <c r="R117" s="1"/>
  <c r="Q118"/>
  <c r="Q119"/>
  <c r="Q120"/>
  <c r="Q121"/>
  <c r="Q122"/>
  <c r="R122" s="1"/>
  <c r="Q123"/>
  <c r="R123" s="1"/>
  <c r="Q124"/>
  <c r="R124" s="1"/>
  <c r="Q125"/>
  <c r="R125" s="1"/>
  <c r="Q126"/>
  <c r="Q127"/>
  <c r="Q128"/>
  <c r="Q129"/>
  <c r="Q130"/>
  <c r="R130" s="1"/>
  <c r="Q131"/>
  <c r="R131" s="1"/>
  <c r="Q132"/>
  <c r="R132" s="1"/>
  <c r="Q133"/>
  <c r="R133" s="1"/>
  <c r="Q134"/>
  <c r="Q135"/>
  <c r="Q136"/>
  <c r="Q137"/>
  <c r="Q138"/>
  <c r="R138" s="1"/>
  <c r="Q139"/>
  <c r="R139" s="1"/>
  <c r="Q140"/>
  <c r="R140" s="1"/>
  <c r="Q141"/>
  <c r="R141" s="1"/>
  <c r="Q142"/>
  <c r="Q143"/>
  <c r="Q144"/>
  <c r="Q145"/>
  <c r="Q146"/>
  <c r="R146" s="1"/>
  <c r="Q147"/>
  <c r="R147" s="1"/>
  <c r="Q148"/>
  <c r="R148" s="1"/>
  <c r="Q149"/>
  <c r="R149" s="1"/>
  <c r="Q150"/>
  <c r="Q151"/>
  <c r="Q152"/>
  <c r="Q153"/>
  <c r="Q154"/>
  <c r="R154" s="1"/>
  <c r="Q155"/>
  <c r="R155" s="1"/>
  <c r="Q156"/>
  <c r="R156" s="1"/>
  <c r="Q157"/>
  <c r="R157" s="1"/>
  <c r="Q158"/>
  <c r="Q159"/>
  <c r="Q160"/>
  <c r="Q161"/>
  <c r="Q162"/>
  <c r="R162" s="1"/>
  <c r="Q163"/>
  <c r="R163" s="1"/>
  <c r="Q164"/>
  <c r="R164" s="1"/>
  <c r="Q165"/>
  <c r="R165" s="1"/>
  <c r="Q166"/>
  <c r="Q167"/>
  <c r="Q168"/>
  <c r="Q169"/>
  <c r="Q170"/>
  <c r="R170" s="1"/>
  <c r="Q171"/>
  <c r="R171" s="1"/>
  <c r="Q172"/>
  <c r="R172" s="1"/>
  <c r="Q173"/>
  <c r="R173" s="1"/>
  <c r="Q174"/>
  <c r="Q175"/>
  <c r="Q176"/>
  <c r="Q177"/>
  <c r="Q178"/>
  <c r="R178" s="1"/>
  <c r="Q179"/>
  <c r="R179" s="1"/>
  <c r="Q180"/>
  <c r="R180" s="1"/>
  <c r="Q181"/>
  <c r="R181" s="1"/>
  <c r="Q182"/>
  <c r="Q31"/>
  <c r="Q32"/>
  <c r="R32" s="1"/>
  <c r="Q33"/>
  <c r="R33" s="1"/>
  <c r="Q34"/>
  <c r="R34" s="1"/>
  <c r="Q35"/>
  <c r="R35" s="1"/>
  <c r="Q36"/>
  <c r="Q37"/>
  <c r="Q38"/>
  <c r="Q39"/>
  <c r="Q40"/>
  <c r="R40" s="1"/>
  <c r="Q41"/>
  <c r="R41" s="1"/>
  <c r="Q42"/>
  <c r="R42" s="1"/>
  <c r="Q43"/>
  <c r="R43" s="1"/>
  <c r="Q44"/>
  <c r="Q45"/>
  <c r="Q46"/>
  <c r="Q47"/>
  <c r="Q48"/>
  <c r="R48" s="1"/>
  <c r="Q3"/>
  <c r="Q4"/>
  <c r="R4" s="1"/>
  <c r="Q5"/>
  <c r="R5" s="1"/>
  <c r="Q6"/>
  <c r="Q7"/>
  <c r="Q8"/>
  <c r="Q9"/>
  <c r="Q10"/>
  <c r="Q11"/>
  <c r="Q12"/>
  <c r="R12" s="1"/>
  <c r="Q13"/>
  <c r="R13" s="1"/>
  <c r="Q14"/>
  <c r="Q15"/>
  <c r="Q16"/>
  <c r="Q17"/>
  <c r="Q18"/>
  <c r="Q19"/>
  <c r="Q20"/>
  <c r="R20" s="1"/>
  <c r="Q21"/>
  <c r="R21" s="1"/>
  <c r="Q22"/>
  <c r="Q23"/>
  <c r="Q24"/>
  <c r="Q25"/>
  <c r="Q26"/>
  <c r="Q27"/>
  <c r="Q28"/>
  <c r="R28" s="1"/>
  <c r="Q29"/>
  <c r="R29" s="1"/>
  <c r="Q30"/>
  <c r="Q2"/>
  <c r="M128"/>
  <c r="M171"/>
  <c r="O98"/>
  <c r="B49" i="33" s="1"/>
  <c r="M79" i="25"/>
  <c r="S9" i="33"/>
  <c r="T9"/>
  <c r="Y9" s="1"/>
  <c r="S10"/>
  <c r="T10"/>
  <c r="S11"/>
  <c r="T11"/>
  <c r="Y11" s="1"/>
  <c r="S12"/>
  <c r="T12"/>
  <c r="U12" s="1"/>
  <c r="S13"/>
  <c r="T13"/>
  <c r="U13" s="1"/>
  <c r="S14"/>
  <c r="T14"/>
  <c r="V14" s="1"/>
  <c r="S15"/>
  <c r="T15"/>
  <c r="X15" s="1"/>
  <c r="S16"/>
  <c r="T16"/>
  <c r="Y16" s="1"/>
  <c r="S17"/>
  <c r="T17"/>
  <c r="Y17" s="1"/>
  <c r="S18"/>
  <c r="T18"/>
  <c r="S19"/>
  <c r="T19"/>
  <c r="Y19" s="1"/>
  <c r="S20"/>
  <c r="T20"/>
  <c r="U20" s="1"/>
  <c r="S21"/>
  <c r="T21"/>
  <c r="Y21" s="1"/>
  <c r="S22"/>
  <c r="T22"/>
  <c r="W22" s="1"/>
  <c r="S23"/>
  <c r="T23"/>
  <c r="V23" s="1"/>
  <c r="S24"/>
  <c r="T24"/>
  <c r="Y24" s="1"/>
  <c r="S25"/>
  <c r="T25"/>
  <c r="Y25" s="1"/>
  <c r="S26"/>
  <c r="T26"/>
  <c r="S27"/>
  <c r="T27"/>
  <c r="Y27" s="1"/>
  <c r="S28"/>
  <c r="T28"/>
  <c r="U28" s="1"/>
  <c r="S29"/>
  <c r="T29"/>
  <c r="X29" s="1"/>
  <c r="S30"/>
  <c r="T30"/>
  <c r="U30" s="1"/>
  <c r="S31"/>
  <c r="T31"/>
  <c r="V31" s="1"/>
  <c r="S32"/>
  <c r="T32"/>
  <c r="Y32" s="1"/>
  <c r="S33"/>
  <c r="T33"/>
  <c r="Y33" s="1"/>
  <c r="S34"/>
  <c r="T34"/>
  <c r="S35"/>
  <c r="T35"/>
  <c r="Y35" s="1"/>
  <c r="S36"/>
  <c r="T36"/>
  <c r="Y36" s="1"/>
  <c r="S37"/>
  <c r="T37"/>
  <c r="W37" s="1"/>
  <c r="S38"/>
  <c r="T38"/>
  <c r="U38" s="1"/>
  <c r="S39"/>
  <c r="T39"/>
  <c r="U39" s="1"/>
  <c r="S40"/>
  <c r="T40"/>
  <c r="V40" s="1"/>
  <c r="S41"/>
  <c r="T41"/>
  <c r="X41" s="1"/>
  <c r="S42"/>
  <c r="T42"/>
  <c r="S43"/>
  <c r="T43"/>
  <c r="Y43" s="1"/>
  <c r="S44"/>
  <c r="T44"/>
  <c r="V44" s="1"/>
  <c r="S45"/>
  <c r="T45"/>
  <c r="Y45" s="1"/>
  <c r="S46"/>
  <c r="T46"/>
  <c r="Y46" s="1"/>
  <c r="S47"/>
  <c r="T47"/>
  <c r="U47" s="1"/>
  <c r="S48"/>
  <c r="T48"/>
  <c r="V48" s="1"/>
  <c r="S49"/>
  <c r="T49"/>
  <c r="X49" s="1"/>
  <c r="S50"/>
  <c r="T50"/>
  <c r="S51"/>
  <c r="T51"/>
  <c r="U51" s="1"/>
  <c r="S52"/>
  <c r="T52"/>
  <c r="U52" s="1"/>
  <c r="S53"/>
  <c r="T53"/>
  <c r="Y53" s="1"/>
  <c r="S54"/>
  <c r="T54"/>
  <c r="V54" s="1"/>
  <c r="S55"/>
  <c r="T55"/>
  <c r="U55" s="1"/>
  <c r="S56"/>
  <c r="T56"/>
  <c r="V56" s="1"/>
  <c r="S57"/>
  <c r="T57"/>
  <c r="W57" s="1"/>
  <c r="S58"/>
  <c r="T58"/>
  <c r="Y58" s="1"/>
  <c r="S59"/>
  <c r="T59"/>
  <c r="S60"/>
  <c r="T60"/>
  <c r="V60" s="1"/>
  <c r="S61"/>
  <c r="T61"/>
  <c r="S62"/>
  <c r="T62"/>
  <c r="V62" s="1"/>
  <c r="S63"/>
  <c r="T63"/>
  <c r="U63" s="1"/>
  <c r="S64"/>
  <c r="T64"/>
  <c r="V64" s="1"/>
  <c r="S65"/>
  <c r="T65"/>
  <c r="W65" s="1"/>
  <c r="S66"/>
  <c r="T66"/>
  <c r="Y66" s="1"/>
  <c r="S67"/>
  <c r="T67"/>
  <c r="U67" s="1"/>
  <c r="S68"/>
  <c r="T68"/>
  <c r="S69"/>
  <c r="T69"/>
  <c r="U69" s="1"/>
  <c r="S70"/>
  <c r="T70"/>
  <c r="X70" s="1"/>
  <c r="S71"/>
  <c r="T71"/>
  <c r="U71" s="1"/>
  <c r="S72"/>
  <c r="T72"/>
  <c r="V72" s="1"/>
  <c r="S73"/>
  <c r="T73"/>
  <c r="W73" s="1"/>
  <c r="S74"/>
  <c r="T74"/>
  <c r="Y74" s="1"/>
  <c r="S75"/>
  <c r="T75"/>
  <c r="U75" s="1"/>
  <c r="S76"/>
  <c r="T76"/>
  <c r="V76" s="1"/>
  <c r="S77"/>
  <c r="T77"/>
  <c r="V77" s="1"/>
  <c r="S78"/>
  <c r="T78"/>
  <c r="W78" s="1"/>
  <c r="S79"/>
  <c r="T79"/>
  <c r="U79" s="1"/>
  <c r="S80"/>
  <c r="T80"/>
  <c r="V80" s="1"/>
  <c r="S81"/>
  <c r="T81"/>
  <c r="W81" s="1"/>
  <c r="S82"/>
  <c r="T82"/>
  <c r="Y82" s="1"/>
  <c r="S83"/>
  <c r="T83"/>
  <c r="U83" s="1"/>
  <c r="S84"/>
  <c r="T84"/>
  <c r="V84" s="1"/>
  <c r="S85"/>
  <c r="T85"/>
  <c r="W85" s="1"/>
  <c r="S86"/>
  <c r="T86"/>
  <c r="X86" s="1"/>
  <c r="S87"/>
  <c r="T87"/>
  <c r="U87" s="1"/>
  <c r="S88"/>
  <c r="T88"/>
  <c r="V88" s="1"/>
  <c r="S89"/>
  <c r="T89"/>
  <c r="W89" s="1"/>
  <c r="S90"/>
  <c r="T90"/>
  <c r="S91"/>
  <c r="T91"/>
  <c r="U91" s="1"/>
  <c r="S92"/>
  <c r="T92"/>
  <c r="S93"/>
  <c r="T93"/>
  <c r="W93" s="1"/>
  <c r="S94"/>
  <c r="T94"/>
  <c r="W94" s="1"/>
  <c r="S95"/>
  <c r="T95"/>
  <c r="U95" s="1"/>
  <c r="S96"/>
  <c r="T96"/>
  <c r="V96" s="1"/>
  <c r="S97"/>
  <c r="T97"/>
  <c r="W97" s="1"/>
  <c r="S98"/>
  <c r="T98"/>
  <c r="S99"/>
  <c r="T99"/>
  <c r="S100"/>
  <c r="T100"/>
  <c r="U100" s="1"/>
  <c r="S101"/>
  <c r="T101"/>
  <c r="S102"/>
  <c r="T102"/>
  <c r="W102" s="1"/>
  <c r="S103"/>
  <c r="T103"/>
  <c r="U103" s="1"/>
  <c r="S104"/>
  <c r="T104"/>
  <c r="V104" s="1"/>
  <c r="S105"/>
  <c r="T105"/>
  <c r="W105" s="1"/>
  <c r="S106"/>
  <c r="T106"/>
  <c r="S107"/>
  <c r="T107"/>
  <c r="S108"/>
  <c r="T108"/>
  <c r="U108" s="1"/>
  <c r="S109"/>
  <c r="T109"/>
  <c r="Y109" s="1"/>
  <c r="S110"/>
  <c r="T110"/>
  <c r="V110" s="1"/>
  <c r="S111"/>
  <c r="T111"/>
  <c r="U111" s="1"/>
  <c r="S112"/>
  <c r="T112"/>
  <c r="V112" s="1"/>
  <c r="S113"/>
  <c r="T113"/>
  <c r="Y113" s="1"/>
  <c r="S114"/>
  <c r="T114"/>
  <c r="Y114" s="1"/>
  <c r="S115"/>
  <c r="T115"/>
  <c r="V115" s="1"/>
  <c r="S116"/>
  <c r="T116"/>
  <c r="V116" s="1"/>
  <c r="S117"/>
  <c r="T117"/>
  <c r="Y117" s="1"/>
  <c r="S118"/>
  <c r="T118"/>
  <c r="W118" s="1"/>
  <c r="S119"/>
  <c r="T119"/>
  <c r="U119" s="1"/>
  <c r="S120"/>
  <c r="T120"/>
  <c r="V120" s="1"/>
  <c r="S121"/>
  <c r="T121"/>
  <c r="S122"/>
  <c r="T122"/>
  <c r="Y122" s="1"/>
  <c r="S123"/>
  <c r="T123"/>
  <c r="S124"/>
  <c r="T124"/>
  <c r="U124" s="1"/>
  <c r="S125"/>
  <c r="T125"/>
  <c r="Y125" s="1"/>
  <c r="S126"/>
  <c r="T126"/>
  <c r="X126" s="1"/>
  <c r="S127"/>
  <c r="T127"/>
  <c r="U127" s="1"/>
  <c r="S128"/>
  <c r="T128"/>
  <c r="V128" s="1"/>
  <c r="S129"/>
  <c r="T129"/>
  <c r="Y129" s="1"/>
  <c r="S130"/>
  <c r="T130"/>
  <c r="Y130" s="1"/>
  <c r="S131"/>
  <c r="T131"/>
  <c r="V131" s="1"/>
  <c r="S132"/>
  <c r="T132"/>
  <c r="V132" s="1"/>
  <c r="S133"/>
  <c r="T133"/>
  <c r="Y133" s="1"/>
  <c r="T8"/>
  <c r="V8" s="1"/>
  <c r="T90" i="25"/>
  <c r="S90"/>
  <c r="P90"/>
  <c r="K41" i="33" s="1"/>
  <c r="O90" i="25"/>
  <c r="B41" i="33" s="1"/>
  <c r="M90" i="25"/>
  <c r="A90"/>
  <c r="T89"/>
  <c r="S89"/>
  <c r="R89"/>
  <c r="P89"/>
  <c r="K40" i="33" s="1"/>
  <c r="O89" i="25"/>
  <c r="B40" i="33" s="1"/>
  <c r="M89" i="25"/>
  <c r="A89"/>
  <c r="T88"/>
  <c r="S88"/>
  <c r="R88"/>
  <c r="P88"/>
  <c r="K39" i="33" s="1"/>
  <c r="O88" i="25"/>
  <c r="B39" i="33" s="1"/>
  <c r="M88" i="25"/>
  <c r="A88"/>
  <c r="T87"/>
  <c r="S87"/>
  <c r="R87"/>
  <c r="P87"/>
  <c r="K38" i="33" s="1"/>
  <c r="O87" i="25"/>
  <c r="B38" i="33" s="1"/>
  <c r="M87" i="25"/>
  <c r="A87"/>
  <c r="T86"/>
  <c r="S86"/>
  <c r="R86"/>
  <c r="P86"/>
  <c r="K37" i="33" s="1"/>
  <c r="O86" i="25"/>
  <c r="B37" i="33" s="1"/>
  <c r="M86" i="25"/>
  <c r="A86"/>
  <c r="T85"/>
  <c r="S85"/>
  <c r="R85"/>
  <c r="P85"/>
  <c r="K36" i="33" s="1"/>
  <c r="O85" i="25"/>
  <c r="B36" i="33" s="1"/>
  <c r="M85" i="25"/>
  <c r="A85"/>
  <c r="R3"/>
  <c r="R6"/>
  <c r="R7"/>
  <c r="R8"/>
  <c r="R9"/>
  <c r="R10"/>
  <c r="R11"/>
  <c r="R14"/>
  <c r="R15"/>
  <c r="R16"/>
  <c r="R17"/>
  <c r="R18"/>
  <c r="R19"/>
  <c r="R22"/>
  <c r="R23"/>
  <c r="R24"/>
  <c r="R25"/>
  <c r="R26"/>
  <c r="R27"/>
  <c r="R30"/>
  <c r="R31"/>
  <c r="R36"/>
  <c r="R37"/>
  <c r="R38"/>
  <c r="R39"/>
  <c r="R44"/>
  <c r="R45"/>
  <c r="R46"/>
  <c r="R47"/>
  <c r="R49"/>
  <c r="R54"/>
  <c r="R55"/>
  <c r="R56"/>
  <c r="R57"/>
  <c r="R62"/>
  <c r="R63"/>
  <c r="R64"/>
  <c r="R65"/>
  <c r="R70"/>
  <c r="R71"/>
  <c r="R72"/>
  <c r="R73"/>
  <c r="R78"/>
  <c r="R79"/>
  <c r="R80"/>
  <c r="R81"/>
  <c r="R93"/>
  <c r="R94"/>
  <c r="R95"/>
  <c r="R96"/>
  <c r="R97"/>
  <c r="R101"/>
  <c r="R102"/>
  <c r="R103"/>
  <c r="R104"/>
  <c r="R105"/>
  <c r="R109"/>
  <c r="R110"/>
  <c r="R111"/>
  <c r="R112"/>
  <c r="R113"/>
  <c r="R118"/>
  <c r="R119"/>
  <c r="R120"/>
  <c r="R121"/>
  <c r="R126"/>
  <c r="R127"/>
  <c r="R128"/>
  <c r="R129"/>
  <c r="R134"/>
  <c r="R135"/>
  <c r="R136"/>
  <c r="R137"/>
  <c r="R142"/>
  <c r="R143"/>
  <c r="R144"/>
  <c r="R145"/>
  <c r="R150"/>
  <c r="R151"/>
  <c r="R152"/>
  <c r="R153"/>
  <c r="R158"/>
  <c r="R159"/>
  <c r="R160"/>
  <c r="R161"/>
  <c r="R166"/>
  <c r="R167"/>
  <c r="R168"/>
  <c r="R169"/>
  <c r="R174"/>
  <c r="R175"/>
  <c r="R176"/>
  <c r="R177"/>
  <c r="R182"/>
  <c r="R2"/>
  <c r="A22"/>
  <c r="A171"/>
  <c r="A167"/>
  <c r="A60"/>
  <c r="A61"/>
  <c r="A62"/>
  <c r="A63"/>
  <c r="A64"/>
  <c r="A65"/>
  <c r="A66"/>
  <c r="A67"/>
  <c r="A68"/>
  <c r="A69"/>
  <c r="A70"/>
  <c r="A71"/>
  <c r="A72"/>
  <c r="A73"/>
  <c r="A74"/>
  <c r="A75"/>
  <c r="A76"/>
  <c r="A77"/>
  <c r="A78"/>
  <c r="A79"/>
  <c r="A80"/>
  <c r="A81"/>
  <c r="A82"/>
  <c r="A83"/>
  <c r="A84"/>
  <c r="A91"/>
  <c r="A92"/>
  <c r="A93"/>
  <c r="A94"/>
  <c r="A95"/>
  <c r="A96"/>
  <c r="A97"/>
  <c r="A98"/>
  <c r="A99"/>
  <c r="A100"/>
  <c r="A101"/>
  <c r="A102"/>
  <c r="A103"/>
  <c r="A104"/>
  <c r="A105"/>
  <c r="A106"/>
  <c r="A107"/>
  <c r="A108"/>
  <c r="A109"/>
  <c r="A110"/>
  <c r="A111"/>
  <c r="A112"/>
  <c r="A113"/>
  <c r="A114"/>
  <c r="A115"/>
  <c r="A116"/>
  <c r="A117"/>
  <c r="A118"/>
  <c r="A119"/>
  <c r="A120"/>
  <c r="A121"/>
  <c r="A122"/>
  <c r="A123"/>
  <c r="A124"/>
  <c r="A125"/>
  <c r="A126"/>
  <c r="A127"/>
  <c r="A128"/>
  <c r="A129"/>
  <c r="A130"/>
  <c r="A131"/>
  <c r="A132"/>
  <c r="A133"/>
  <c r="A134"/>
  <c r="A135"/>
  <c r="A136"/>
  <c r="A137"/>
  <c r="A138"/>
  <c r="A139"/>
  <c r="A140"/>
  <c r="A141"/>
  <c r="A142"/>
  <c r="A143"/>
  <c r="A144"/>
  <c r="A145"/>
  <c r="A146"/>
  <c r="A147"/>
  <c r="A148"/>
  <c r="A149"/>
  <c r="A150"/>
  <c r="A151"/>
  <c r="A152"/>
  <c r="A153"/>
  <c r="A154"/>
  <c r="A155"/>
  <c r="A156"/>
  <c r="A157"/>
  <c r="A158"/>
  <c r="A159"/>
  <c r="A160"/>
  <c r="A161"/>
  <c r="A162"/>
  <c r="A163"/>
  <c r="A164"/>
  <c r="A165"/>
  <c r="A166"/>
  <c r="A168"/>
  <c r="A169"/>
  <c r="A170"/>
  <c r="A172"/>
  <c r="A173"/>
  <c r="A174"/>
  <c r="A175"/>
  <c r="A176"/>
  <c r="A177"/>
  <c r="A178"/>
  <c r="A179"/>
  <c r="A180"/>
  <c r="A181"/>
  <c r="A182"/>
  <c r="A31"/>
  <c r="A32"/>
  <c r="A33"/>
  <c r="A34"/>
  <c r="A35"/>
  <c r="A36"/>
  <c r="A37"/>
  <c r="A38"/>
  <c r="A39"/>
  <c r="A40"/>
  <c r="A41"/>
  <c r="A42"/>
  <c r="A43"/>
  <c r="A44"/>
  <c r="A45"/>
  <c r="A46"/>
  <c r="A47"/>
  <c r="A48"/>
  <c r="A49"/>
  <c r="A50"/>
  <c r="A51"/>
  <c r="A52"/>
  <c r="A53"/>
  <c r="A54"/>
  <c r="A55"/>
  <c r="A56"/>
  <c r="A57"/>
  <c r="A58"/>
  <c r="A59"/>
  <c r="A3"/>
  <c r="A4"/>
  <c r="A5"/>
  <c r="A6"/>
  <c r="A7"/>
  <c r="A8"/>
  <c r="A9"/>
  <c r="A10"/>
  <c r="A11"/>
  <c r="A12"/>
  <c r="A13"/>
  <c r="A14"/>
  <c r="A15"/>
  <c r="A16"/>
  <c r="A17"/>
  <c r="A18"/>
  <c r="A19"/>
  <c r="A20"/>
  <c r="A21"/>
  <c r="A23"/>
  <c r="A24"/>
  <c r="A25"/>
  <c r="A26"/>
  <c r="A27"/>
  <c r="A28"/>
  <c r="A29"/>
  <c r="A30"/>
  <c r="A2"/>
  <c r="T167"/>
  <c r="S167"/>
  <c r="P167"/>
  <c r="K118" i="33" s="1"/>
  <c r="O167" i="25"/>
  <c r="B118" i="33" s="1"/>
  <c r="M167" i="25"/>
  <c r="T104"/>
  <c r="S104"/>
  <c r="P104"/>
  <c r="K55" i="33" s="1"/>
  <c r="O104" i="25"/>
  <c r="B55" i="33" s="1"/>
  <c r="M104" i="25"/>
  <c r="T67"/>
  <c r="S67"/>
  <c r="P67"/>
  <c r="K18" i="33" s="1"/>
  <c r="O67" i="25"/>
  <c r="B18" i="33" s="1"/>
  <c r="M67" i="25"/>
  <c r="T66"/>
  <c r="S66"/>
  <c r="P66"/>
  <c r="K17" i="33" s="1"/>
  <c r="O66" i="25"/>
  <c r="B17" i="33" s="1"/>
  <c r="M66" i="25"/>
  <c r="T65"/>
  <c r="S65"/>
  <c r="P65"/>
  <c r="K16" i="33" s="1"/>
  <c r="O65" i="25"/>
  <c r="B16" i="33" s="1"/>
  <c r="M65" i="25"/>
  <c r="T64"/>
  <c r="S64"/>
  <c r="P64"/>
  <c r="K15" i="33" s="1"/>
  <c r="O64" i="25"/>
  <c r="B15" i="33" s="1"/>
  <c r="M64" i="25"/>
  <c r="P58"/>
  <c r="K9" i="33" s="1"/>
  <c r="P59" i="25"/>
  <c r="K10" i="33" s="1"/>
  <c r="P60" i="25"/>
  <c r="K11" i="33" s="1"/>
  <c r="P61" i="25"/>
  <c r="K12" i="33" s="1"/>
  <c r="P62" i="25"/>
  <c r="K13" i="33" s="1"/>
  <c r="P63" i="25"/>
  <c r="K14" i="33" s="1"/>
  <c r="P68" i="25"/>
  <c r="K19" i="33" s="1"/>
  <c r="P69" i="25"/>
  <c r="K20" i="33" s="1"/>
  <c r="P70" i="25"/>
  <c r="K21" i="33" s="1"/>
  <c r="P71" i="25"/>
  <c r="K22" i="33" s="1"/>
  <c r="P72" i="25"/>
  <c r="K23" i="33" s="1"/>
  <c r="P73" i="25"/>
  <c r="K24" i="33" s="1"/>
  <c r="P74" i="25"/>
  <c r="K25" i="33" s="1"/>
  <c r="P75" i="25"/>
  <c r="K26" i="33" s="1"/>
  <c r="P76" i="25"/>
  <c r="K27" i="33" s="1"/>
  <c r="P77" i="25"/>
  <c r="K28" i="33" s="1"/>
  <c r="P78" i="25"/>
  <c r="K29" i="33" s="1"/>
  <c r="P79" i="25"/>
  <c r="K30" i="33" s="1"/>
  <c r="P80" i="25"/>
  <c r="K31" i="33" s="1"/>
  <c r="P81" i="25"/>
  <c r="K32" i="33" s="1"/>
  <c r="P82" i="25"/>
  <c r="K33" i="33" s="1"/>
  <c r="P83" i="25"/>
  <c r="K34" i="33" s="1"/>
  <c r="P84" i="25"/>
  <c r="K35" i="33" s="1"/>
  <c r="P91" i="25"/>
  <c r="K42" i="33" s="1"/>
  <c r="P92" i="25"/>
  <c r="K43" i="33" s="1"/>
  <c r="P93" i="25"/>
  <c r="K44" i="33" s="1"/>
  <c r="P94" i="25"/>
  <c r="K45" i="33" s="1"/>
  <c r="P95" i="25"/>
  <c r="K46" i="33" s="1"/>
  <c r="P96" i="25"/>
  <c r="K47" i="33" s="1"/>
  <c r="P97" i="25"/>
  <c r="K48" i="33" s="1"/>
  <c r="P98" i="25"/>
  <c r="K49" i="33" s="1"/>
  <c r="P99" i="25"/>
  <c r="K50" i="33" s="1"/>
  <c r="P100" i="25"/>
  <c r="K51" i="33" s="1"/>
  <c r="P101" i="25"/>
  <c r="K52" i="33" s="1"/>
  <c r="P102" i="25"/>
  <c r="K53" i="33" s="1"/>
  <c r="P103" i="25"/>
  <c r="K54" i="33" s="1"/>
  <c r="P105" i="25"/>
  <c r="K56" i="33" s="1"/>
  <c r="P106" i="25"/>
  <c r="K57" i="33" s="1"/>
  <c r="P107" i="25"/>
  <c r="K58" i="33" s="1"/>
  <c r="P108" i="25"/>
  <c r="K59" i="33" s="1"/>
  <c r="P109" i="25"/>
  <c r="K60" i="33" s="1"/>
  <c r="P110" i="25"/>
  <c r="K61" i="33" s="1"/>
  <c r="P111" i="25"/>
  <c r="K62" i="33" s="1"/>
  <c r="P112" i="25"/>
  <c r="K63" i="33" s="1"/>
  <c r="P113" i="25"/>
  <c r="K64" i="33" s="1"/>
  <c r="P114" i="25"/>
  <c r="K65" i="33" s="1"/>
  <c r="P115" i="25"/>
  <c r="K66" i="33" s="1"/>
  <c r="P116" i="25"/>
  <c r="K67" i="33" s="1"/>
  <c r="P117" i="25"/>
  <c r="K68" i="33" s="1"/>
  <c r="P118" i="25"/>
  <c r="K69" i="33" s="1"/>
  <c r="P119" i="25"/>
  <c r="K70" i="33" s="1"/>
  <c r="P120" i="25"/>
  <c r="K71" i="33" s="1"/>
  <c r="P121" i="25"/>
  <c r="K72" i="33" s="1"/>
  <c r="P122" i="25"/>
  <c r="K73" i="33" s="1"/>
  <c r="P123" i="25"/>
  <c r="K74" i="33" s="1"/>
  <c r="P124" i="25"/>
  <c r="K75" i="33" s="1"/>
  <c r="P125" i="25"/>
  <c r="K76" i="33" s="1"/>
  <c r="P126" i="25"/>
  <c r="K77" i="33" s="1"/>
  <c r="P127" i="25"/>
  <c r="K78" i="33" s="1"/>
  <c r="P128" i="25"/>
  <c r="K79" i="33" s="1"/>
  <c r="P129" i="25"/>
  <c r="K80" i="33" s="1"/>
  <c r="P130" i="25"/>
  <c r="K81" i="33" s="1"/>
  <c r="P131" i="25"/>
  <c r="K82" i="33" s="1"/>
  <c r="P132" i="25"/>
  <c r="K83" i="33" s="1"/>
  <c r="P133" i="25"/>
  <c r="K84" i="33" s="1"/>
  <c r="P134" i="25"/>
  <c r="K85" i="33" s="1"/>
  <c r="P135" i="25"/>
  <c r="K86" i="33" s="1"/>
  <c r="P136" i="25"/>
  <c r="K87" i="33" s="1"/>
  <c r="P137" i="25"/>
  <c r="K88" i="33" s="1"/>
  <c r="P138" i="25"/>
  <c r="K89" i="33" s="1"/>
  <c r="P139" i="25"/>
  <c r="K90" i="33" s="1"/>
  <c r="P140" i="25"/>
  <c r="K91" i="33" s="1"/>
  <c r="P141" i="25"/>
  <c r="K92" i="33" s="1"/>
  <c r="P142" i="25"/>
  <c r="K93" i="33" s="1"/>
  <c r="P143" i="25"/>
  <c r="K94" i="33" s="1"/>
  <c r="P144" i="25"/>
  <c r="K95" i="33" s="1"/>
  <c r="P145" i="25"/>
  <c r="K96" i="33" s="1"/>
  <c r="P146" i="25"/>
  <c r="K97" i="33" s="1"/>
  <c r="P147" i="25"/>
  <c r="K98" i="33" s="1"/>
  <c r="P148" i="25"/>
  <c r="K99" i="33" s="1"/>
  <c r="P149" i="25"/>
  <c r="K100" i="33" s="1"/>
  <c r="P150" i="25"/>
  <c r="K101" i="33" s="1"/>
  <c r="P151" i="25"/>
  <c r="K102" i="33" s="1"/>
  <c r="P152" i="25"/>
  <c r="K103" i="33" s="1"/>
  <c r="P153" i="25"/>
  <c r="K104" i="33" s="1"/>
  <c r="P154" i="25"/>
  <c r="K105" i="33" s="1"/>
  <c r="P155" i="25"/>
  <c r="K106" i="33" s="1"/>
  <c r="P156" i="25"/>
  <c r="K107" i="33" s="1"/>
  <c r="P157" i="25"/>
  <c r="K108" i="33" s="1"/>
  <c r="P158" i="25"/>
  <c r="K109" i="33" s="1"/>
  <c r="P159" i="25"/>
  <c r="K110" i="33" s="1"/>
  <c r="P160" i="25"/>
  <c r="K111" i="33" s="1"/>
  <c r="P161" i="25"/>
  <c r="K112" i="33" s="1"/>
  <c r="P162" i="25"/>
  <c r="K113" i="33" s="1"/>
  <c r="P163" i="25"/>
  <c r="K114" i="33" s="1"/>
  <c r="P164" i="25"/>
  <c r="K115" i="33" s="1"/>
  <c r="P165" i="25"/>
  <c r="K116" i="33" s="1"/>
  <c r="P166" i="25"/>
  <c r="K117" i="33" s="1"/>
  <c r="P168" i="25"/>
  <c r="K119" i="33" s="1"/>
  <c r="P169" i="25"/>
  <c r="K120" i="33" s="1"/>
  <c r="P170" i="25"/>
  <c r="K121" i="33" s="1"/>
  <c r="P171" i="25"/>
  <c r="K122" i="33" s="1"/>
  <c r="P172" i="25"/>
  <c r="K123" i="33" s="1"/>
  <c r="P173" i="25"/>
  <c r="K124" i="33" s="1"/>
  <c r="P174" i="25"/>
  <c r="K125" i="33" s="1"/>
  <c r="P175" i="25"/>
  <c r="K126" i="33" s="1"/>
  <c r="P176" i="25"/>
  <c r="K127" i="33" s="1"/>
  <c r="P177" i="25"/>
  <c r="K128" i="33" s="1"/>
  <c r="P178" i="25"/>
  <c r="K129" i="33" s="1"/>
  <c r="P179" i="25"/>
  <c r="K130" i="33" s="1"/>
  <c r="P180" i="25"/>
  <c r="K131" i="33" s="1"/>
  <c r="P181" i="25"/>
  <c r="K132" i="33" s="1"/>
  <c r="P182" i="25"/>
  <c r="K133" i="33" s="1"/>
  <c r="O82" i="25"/>
  <c r="B33" i="33" s="1"/>
  <c r="O83" i="25"/>
  <c r="B34" i="33" s="1"/>
  <c r="O84" i="25"/>
  <c r="B35" i="33" s="1"/>
  <c r="O91" i="25"/>
  <c r="B42" i="33" s="1"/>
  <c r="O92" i="25"/>
  <c r="B43" i="33" s="1"/>
  <c r="O93" i="25"/>
  <c r="B44" i="33" s="1"/>
  <c r="O94" i="25"/>
  <c r="B45" i="33" s="1"/>
  <c r="O95" i="25"/>
  <c r="B46" i="33" s="1"/>
  <c r="O96" i="25"/>
  <c r="B47" i="33" s="1"/>
  <c r="O97" i="25"/>
  <c r="B48" i="33" s="1"/>
  <c r="O99" i="25"/>
  <c r="B50" i="33" s="1"/>
  <c r="O100" i="25"/>
  <c r="B51" i="33" s="1"/>
  <c r="O101" i="25"/>
  <c r="B52" i="33" s="1"/>
  <c r="O102" i="25"/>
  <c r="B53" i="33" s="1"/>
  <c r="O103" i="25"/>
  <c r="B54" i="33" s="1"/>
  <c r="O105" i="25"/>
  <c r="B56" i="33" s="1"/>
  <c r="O106" i="25"/>
  <c r="B57" i="33" s="1"/>
  <c r="O107" i="25"/>
  <c r="B58" i="33" s="1"/>
  <c r="O108" i="25"/>
  <c r="B59" i="33" s="1"/>
  <c r="O109" i="25"/>
  <c r="B60" i="33" s="1"/>
  <c r="O110" i="25"/>
  <c r="B61" i="33" s="1"/>
  <c r="O111" i="25"/>
  <c r="B62" i="33" s="1"/>
  <c r="O112" i="25"/>
  <c r="B63" i="33" s="1"/>
  <c r="O113" i="25"/>
  <c r="B64" i="33" s="1"/>
  <c r="O114" i="25"/>
  <c r="B65" i="33" s="1"/>
  <c r="O115" i="25"/>
  <c r="B66" i="33" s="1"/>
  <c r="O116" i="25"/>
  <c r="B67" i="33" s="1"/>
  <c r="O117" i="25"/>
  <c r="B68" i="33" s="1"/>
  <c r="O118" i="25"/>
  <c r="B69" i="33" s="1"/>
  <c r="O119" i="25"/>
  <c r="B70" i="33" s="1"/>
  <c r="O120" i="25"/>
  <c r="B71" i="33" s="1"/>
  <c r="O121" i="25"/>
  <c r="B72" i="33" s="1"/>
  <c r="O122" i="25"/>
  <c r="B73" i="33" s="1"/>
  <c r="O123" i="25"/>
  <c r="B74" i="33" s="1"/>
  <c r="O124" i="25"/>
  <c r="B75" i="33" s="1"/>
  <c r="O125" i="25"/>
  <c r="B76" i="33" s="1"/>
  <c r="O126" i="25"/>
  <c r="B77" i="33" s="1"/>
  <c r="O127" i="25"/>
  <c r="B78" i="33" s="1"/>
  <c r="O128" i="25"/>
  <c r="B79" i="33" s="1"/>
  <c r="O129" i="25"/>
  <c r="B80" i="33" s="1"/>
  <c r="O130" i="25"/>
  <c r="B81" i="33" s="1"/>
  <c r="O131" i="25"/>
  <c r="B82" i="33" s="1"/>
  <c r="O132" i="25"/>
  <c r="B83" i="33" s="1"/>
  <c r="O133" i="25"/>
  <c r="B84" i="33" s="1"/>
  <c r="O134" i="25"/>
  <c r="B85" i="33" s="1"/>
  <c r="O135" i="25"/>
  <c r="B86" i="33" s="1"/>
  <c r="O136" i="25"/>
  <c r="B87" i="33" s="1"/>
  <c r="O137" i="25"/>
  <c r="B88" i="33" s="1"/>
  <c r="O138" i="25"/>
  <c r="B89" i="33" s="1"/>
  <c r="O139" i="25"/>
  <c r="B90" i="33" s="1"/>
  <c r="O140" i="25"/>
  <c r="B91" i="33" s="1"/>
  <c r="O141" i="25"/>
  <c r="B92" i="33" s="1"/>
  <c r="O142" i="25"/>
  <c r="B93" i="33" s="1"/>
  <c r="O143" i="25"/>
  <c r="B94" i="33" s="1"/>
  <c r="O144" i="25"/>
  <c r="B95" i="33" s="1"/>
  <c r="O145" i="25"/>
  <c r="B96" i="33" s="1"/>
  <c r="O146" i="25"/>
  <c r="B97" i="33" s="1"/>
  <c r="O147" i="25"/>
  <c r="B98" i="33" s="1"/>
  <c r="O148" i="25"/>
  <c r="B99" i="33" s="1"/>
  <c r="O149" i="25"/>
  <c r="B100" i="33" s="1"/>
  <c r="O150" i="25"/>
  <c r="B101" i="33" s="1"/>
  <c r="O151" i="25"/>
  <c r="B102" i="33" s="1"/>
  <c r="O152" i="25"/>
  <c r="B103" i="33" s="1"/>
  <c r="O153" i="25"/>
  <c r="B104" i="33" s="1"/>
  <c r="O154" i="25"/>
  <c r="B105" i="33" s="1"/>
  <c r="O155" i="25"/>
  <c r="B106" i="33" s="1"/>
  <c r="O156" i="25"/>
  <c r="B107" i="33" s="1"/>
  <c r="O157" i="25"/>
  <c r="B108" i="33" s="1"/>
  <c r="O158" i="25"/>
  <c r="B109" i="33" s="1"/>
  <c r="O159" i="25"/>
  <c r="B110" i="33" s="1"/>
  <c r="O160" i="25"/>
  <c r="B111" i="33" s="1"/>
  <c r="O161" i="25"/>
  <c r="B112" i="33" s="1"/>
  <c r="O162" i="25"/>
  <c r="B113" i="33" s="1"/>
  <c r="O163" i="25"/>
  <c r="B114" i="33" s="1"/>
  <c r="O164" i="25"/>
  <c r="B115" i="33" s="1"/>
  <c r="O165" i="25"/>
  <c r="B116" i="33" s="1"/>
  <c r="O166" i="25"/>
  <c r="B117" i="33" s="1"/>
  <c r="O168" i="25"/>
  <c r="B119" i="33" s="1"/>
  <c r="O169" i="25"/>
  <c r="B120" i="33" s="1"/>
  <c r="O170" i="25"/>
  <c r="B121" i="33" s="1"/>
  <c r="O171" i="25"/>
  <c r="B122" i="33" s="1"/>
  <c r="O172" i="25"/>
  <c r="B123" i="33" s="1"/>
  <c r="O173" i="25"/>
  <c r="B124" i="33" s="1"/>
  <c r="O174" i="25"/>
  <c r="B125" i="33" s="1"/>
  <c r="O175" i="25"/>
  <c r="B126" i="33" s="1"/>
  <c r="O176" i="25"/>
  <c r="B127" i="33" s="1"/>
  <c r="O177" i="25"/>
  <c r="B128" i="33" s="1"/>
  <c r="O178" i="25"/>
  <c r="B129" i="33" s="1"/>
  <c r="O179" i="25"/>
  <c r="B130" i="33" s="1"/>
  <c r="O180" i="25"/>
  <c r="B131" i="33" s="1"/>
  <c r="O181" i="25"/>
  <c r="B132" i="33" s="1"/>
  <c r="O182" i="25"/>
  <c r="B133" i="33" s="1"/>
  <c r="O58" i="25"/>
  <c r="B9" i="33" s="1"/>
  <c r="O59" i="25"/>
  <c r="B10" i="33" s="1"/>
  <c r="O60" i="25"/>
  <c r="B11" i="33" s="1"/>
  <c r="O61" i="25"/>
  <c r="B12" i="33" s="1"/>
  <c r="O62" i="25"/>
  <c r="B13" i="33" s="1"/>
  <c r="O63" i="25"/>
  <c r="B14" i="33" s="1"/>
  <c r="O68" i="25"/>
  <c r="B19" i="33" s="1"/>
  <c r="O69" i="25"/>
  <c r="B20" i="33" s="1"/>
  <c r="O70" i="25"/>
  <c r="B21" i="33" s="1"/>
  <c r="O71" i="25"/>
  <c r="B22" i="33" s="1"/>
  <c r="O72" i="25"/>
  <c r="B23" i="33" s="1"/>
  <c r="O73" i="25"/>
  <c r="B24" i="33" s="1"/>
  <c r="O74" i="25"/>
  <c r="B25" i="33" s="1"/>
  <c r="O75" i="25"/>
  <c r="B26" i="33" s="1"/>
  <c r="O76" i="25"/>
  <c r="B27" i="33" s="1"/>
  <c r="O77" i="25"/>
  <c r="B28" i="33" s="1"/>
  <c r="O78" i="25"/>
  <c r="B29" i="33" s="1"/>
  <c r="O79" i="25"/>
  <c r="B30" i="33" s="1"/>
  <c r="O80" i="25"/>
  <c r="B31" i="33" s="1"/>
  <c r="O81" i="25"/>
  <c r="B32" i="33" s="1"/>
  <c r="T75" i="25"/>
  <c r="S75"/>
  <c r="M75"/>
  <c r="T74"/>
  <c r="S74"/>
  <c r="M74"/>
  <c r="T29"/>
  <c r="S29"/>
  <c r="M29"/>
  <c r="A35" i="26"/>
  <c r="C12"/>
  <c r="A34"/>
  <c r="C11"/>
  <c r="A32"/>
  <c r="A15"/>
  <c r="T182" i="25"/>
  <c r="S182"/>
  <c r="T181"/>
  <c r="S181"/>
  <c r="T180"/>
  <c r="S180"/>
  <c r="T179"/>
  <c r="S179"/>
  <c r="T178"/>
  <c r="S178"/>
  <c r="T177"/>
  <c r="S177"/>
  <c r="T176"/>
  <c r="S176"/>
  <c r="T175"/>
  <c r="S175"/>
  <c r="T174"/>
  <c r="S174"/>
  <c r="T173"/>
  <c r="S173"/>
  <c r="T172"/>
  <c r="S172"/>
  <c r="T171"/>
  <c r="S171"/>
  <c r="T170"/>
  <c r="S170"/>
  <c r="T169"/>
  <c r="S169"/>
  <c r="T168"/>
  <c r="S168"/>
  <c r="T166"/>
  <c r="S166"/>
  <c r="T165"/>
  <c r="S165"/>
  <c r="T164"/>
  <c r="S164"/>
  <c r="T163"/>
  <c r="S163"/>
  <c r="T162"/>
  <c r="S162"/>
  <c r="T161"/>
  <c r="S161"/>
  <c r="T160"/>
  <c r="S160"/>
  <c r="T159"/>
  <c r="S159"/>
  <c r="T158"/>
  <c r="S158"/>
  <c r="T157"/>
  <c r="S157"/>
  <c r="T156"/>
  <c r="S156"/>
  <c r="T155"/>
  <c r="S155"/>
  <c r="T154"/>
  <c r="S154"/>
  <c r="T153"/>
  <c r="S153"/>
  <c r="T152"/>
  <c r="S152"/>
  <c r="T151"/>
  <c r="S151"/>
  <c r="T150"/>
  <c r="S150"/>
  <c r="T149"/>
  <c r="S149"/>
  <c r="T148"/>
  <c r="S148"/>
  <c r="T147"/>
  <c r="S147"/>
  <c r="T146"/>
  <c r="S146"/>
  <c r="T145"/>
  <c r="S145"/>
  <c r="T144"/>
  <c r="S144"/>
  <c r="T143"/>
  <c r="S143"/>
  <c r="T142"/>
  <c r="S142"/>
  <c r="T141"/>
  <c r="S141"/>
  <c r="T140"/>
  <c r="S140"/>
  <c r="T139"/>
  <c r="S139"/>
  <c r="T138"/>
  <c r="S138"/>
  <c r="T137"/>
  <c r="S137"/>
  <c r="T136"/>
  <c r="S136"/>
  <c r="T135"/>
  <c r="S135"/>
  <c r="T134"/>
  <c r="S134"/>
  <c r="T133"/>
  <c r="S133"/>
  <c r="T132"/>
  <c r="S132"/>
  <c r="T131"/>
  <c r="S131"/>
  <c r="T130"/>
  <c r="S130"/>
  <c r="T129"/>
  <c r="S129"/>
  <c r="T128"/>
  <c r="S128"/>
  <c r="T127"/>
  <c r="S127"/>
  <c r="T126"/>
  <c r="S126"/>
  <c r="T125"/>
  <c r="S125"/>
  <c r="T124"/>
  <c r="S124"/>
  <c r="T123"/>
  <c r="S123"/>
  <c r="T122"/>
  <c r="S122"/>
  <c r="T121"/>
  <c r="S121"/>
  <c r="T120"/>
  <c r="S120"/>
  <c r="T119"/>
  <c r="S119"/>
  <c r="T118"/>
  <c r="S118"/>
  <c r="T117"/>
  <c r="S117"/>
  <c r="T116"/>
  <c r="S116"/>
  <c r="T115"/>
  <c r="S115"/>
  <c r="T114"/>
  <c r="S114"/>
  <c r="T113"/>
  <c r="S113"/>
  <c r="T112"/>
  <c r="S112"/>
  <c r="T111"/>
  <c r="S111"/>
  <c r="T110"/>
  <c r="S110"/>
  <c r="T109"/>
  <c r="S109"/>
  <c r="T108"/>
  <c r="S108"/>
  <c r="T107"/>
  <c r="S107"/>
  <c r="T106"/>
  <c r="S106"/>
  <c r="T105"/>
  <c r="S105"/>
  <c r="T103"/>
  <c r="S103"/>
  <c r="T102"/>
  <c r="S102"/>
  <c r="T101"/>
  <c r="S101"/>
  <c r="T100"/>
  <c r="S100"/>
  <c r="T99"/>
  <c r="S99"/>
  <c r="T98"/>
  <c r="S98"/>
  <c r="T97"/>
  <c r="S97"/>
  <c r="T96"/>
  <c r="S96"/>
  <c r="T95"/>
  <c r="S95"/>
  <c r="T94"/>
  <c r="S94"/>
  <c r="T93"/>
  <c r="S93"/>
  <c r="T92"/>
  <c r="S92"/>
  <c r="T91"/>
  <c r="S91"/>
  <c r="T84"/>
  <c r="S84"/>
  <c r="T83"/>
  <c r="S83"/>
  <c r="T82"/>
  <c r="S82"/>
  <c r="T81"/>
  <c r="S81"/>
  <c r="T80"/>
  <c r="S80"/>
  <c r="T79"/>
  <c r="S79"/>
  <c r="T78"/>
  <c r="S78"/>
  <c r="T77"/>
  <c r="S77"/>
  <c r="T76"/>
  <c r="S76"/>
  <c r="T73"/>
  <c r="S73"/>
  <c r="T72"/>
  <c r="S72"/>
  <c r="T71"/>
  <c r="S71"/>
  <c r="T70"/>
  <c r="S70"/>
  <c r="T69"/>
  <c r="S69"/>
  <c r="T68"/>
  <c r="S68"/>
  <c r="T63"/>
  <c r="S63"/>
  <c r="T62"/>
  <c r="S62"/>
  <c r="T61"/>
  <c r="S61"/>
  <c r="T60"/>
  <c r="S60"/>
  <c r="T59"/>
  <c r="S59"/>
  <c r="T58"/>
  <c r="S58"/>
  <c r="T57"/>
  <c r="S57"/>
  <c r="T56"/>
  <c r="S56"/>
  <c r="T55"/>
  <c r="S55"/>
  <c r="T54"/>
  <c r="S54"/>
  <c r="T53"/>
  <c r="S53"/>
  <c r="T52"/>
  <c r="S52"/>
  <c r="T51"/>
  <c r="S51"/>
  <c r="T50"/>
  <c r="S50"/>
  <c r="T49"/>
  <c r="S49"/>
  <c r="T48"/>
  <c r="S48"/>
  <c r="T47"/>
  <c r="S47"/>
  <c r="T46"/>
  <c r="S46"/>
  <c r="T45"/>
  <c r="S45"/>
  <c r="T44"/>
  <c r="S44"/>
  <c r="T43"/>
  <c r="S43"/>
  <c r="T42"/>
  <c r="S42"/>
  <c r="T41"/>
  <c r="S41"/>
  <c r="T40"/>
  <c r="S40"/>
  <c r="T39"/>
  <c r="S39"/>
  <c r="T38"/>
  <c r="S38"/>
  <c r="T37"/>
  <c r="S37"/>
  <c r="T36"/>
  <c r="S36"/>
  <c r="T35"/>
  <c r="S35"/>
  <c r="T34"/>
  <c r="S34"/>
  <c r="T33"/>
  <c r="S33"/>
  <c r="T32"/>
  <c r="S32"/>
  <c r="T31"/>
  <c r="S31"/>
  <c r="T30"/>
  <c r="S30"/>
  <c r="T28"/>
  <c r="S28"/>
  <c r="T27"/>
  <c r="S27"/>
  <c r="T26"/>
  <c r="S26"/>
  <c r="T25"/>
  <c r="S25"/>
  <c r="T24"/>
  <c r="S24"/>
  <c r="T23"/>
  <c r="S23"/>
  <c r="T22"/>
  <c r="S22"/>
  <c r="T21"/>
  <c r="S21"/>
  <c r="T20"/>
  <c r="S20"/>
  <c r="T19"/>
  <c r="S19"/>
  <c r="T18"/>
  <c r="S18"/>
  <c r="T17"/>
  <c r="S17"/>
  <c r="T16"/>
  <c r="S16"/>
  <c r="T15"/>
  <c r="S15"/>
  <c r="T14"/>
  <c r="S14"/>
  <c r="T13"/>
  <c r="S13"/>
  <c r="T12"/>
  <c r="S12"/>
  <c r="T11"/>
  <c r="S11"/>
  <c r="T10"/>
  <c r="S10"/>
  <c r="T9"/>
  <c r="S9"/>
  <c r="T8"/>
  <c r="S8"/>
  <c r="T7"/>
  <c r="S7"/>
  <c r="T6"/>
  <c r="S6"/>
  <c r="T5"/>
  <c r="S5"/>
  <c r="T4"/>
  <c r="S4"/>
  <c r="T3"/>
  <c r="S3"/>
  <c r="T2"/>
  <c r="S2"/>
  <c r="C9" i="26"/>
  <c r="C8"/>
  <c r="S8" i="33"/>
  <c r="M127" i="25"/>
  <c r="M5"/>
  <c r="M6"/>
  <c r="M21"/>
  <c r="P57"/>
  <c r="K8" i="33" s="1"/>
  <c r="M53" i="25"/>
  <c r="O57"/>
  <c r="B8" i="33" s="1"/>
  <c r="M125" i="25"/>
  <c r="M108"/>
  <c r="M59"/>
  <c r="M182"/>
  <c r="M181"/>
  <c r="M180"/>
  <c r="M178"/>
  <c r="M177"/>
  <c r="M176"/>
  <c r="M175"/>
  <c r="M174"/>
  <c r="M173"/>
  <c r="M172"/>
  <c r="M170"/>
  <c r="M169"/>
  <c r="M57"/>
  <c r="M58"/>
  <c r="M68"/>
  <c r="M69"/>
  <c r="M70"/>
  <c r="M71"/>
  <c r="M72"/>
  <c r="M73"/>
  <c r="M76"/>
  <c r="M77"/>
  <c r="M78"/>
  <c r="M80"/>
  <c r="M81"/>
  <c r="M82"/>
  <c r="M83"/>
  <c r="M84"/>
  <c r="M91"/>
  <c r="M92"/>
  <c r="M93"/>
  <c r="M94"/>
  <c r="M95"/>
  <c r="M96"/>
  <c r="M97"/>
  <c r="M98"/>
  <c r="M99"/>
  <c r="M100"/>
  <c r="M101"/>
  <c r="M102"/>
  <c r="M103"/>
  <c r="M105"/>
  <c r="M106"/>
  <c r="M107"/>
  <c r="M109"/>
  <c r="M110"/>
  <c r="M111"/>
  <c r="M112"/>
  <c r="M113"/>
  <c r="M114"/>
  <c r="M115"/>
  <c r="M116"/>
  <c r="M117"/>
  <c r="M118"/>
  <c r="M119"/>
  <c r="M120"/>
  <c r="M121"/>
  <c r="M122"/>
  <c r="M123"/>
  <c r="M124"/>
  <c r="M126"/>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8"/>
  <c r="M18"/>
  <c r="M56"/>
  <c r="M55"/>
  <c r="M50"/>
  <c r="M52"/>
  <c r="M37"/>
  <c r="M32"/>
  <c r="M33"/>
  <c r="M23"/>
  <c r="M17"/>
  <c r="M16"/>
  <c r="M20"/>
  <c r="M14"/>
  <c r="M10"/>
  <c r="M9"/>
  <c r="M54"/>
  <c r="M39"/>
  <c r="M35"/>
  <c r="M3"/>
  <c r="M4"/>
  <c r="M7"/>
  <c r="M8"/>
  <c r="M46"/>
  <c r="M34"/>
  <c r="M38"/>
  <c r="M30"/>
  <c r="M31"/>
  <c r="M26"/>
  <c r="M12"/>
  <c r="M13"/>
  <c r="M15"/>
  <c r="M19"/>
  <c r="M22"/>
  <c r="M43"/>
  <c r="M24"/>
  <c r="M11"/>
  <c r="M44"/>
  <c r="M45"/>
  <c r="M47"/>
  <c r="M48"/>
  <c r="M27"/>
  <c r="M28"/>
  <c r="M36"/>
  <c r="M40"/>
  <c r="M41"/>
  <c r="M42"/>
  <c r="M25"/>
  <c r="M49"/>
  <c r="M51"/>
  <c r="M2"/>
  <c r="Y87" i="33" l="1"/>
  <c r="X80"/>
  <c r="Y104"/>
  <c r="V127"/>
  <c r="V124"/>
  <c r="Y97"/>
  <c r="W127"/>
  <c r="W124"/>
  <c r="Y78"/>
  <c r="Y48"/>
  <c r="W21"/>
  <c r="Y127"/>
  <c r="W87"/>
  <c r="Y65"/>
  <c r="W71"/>
  <c r="V39"/>
  <c r="V36"/>
  <c r="V30"/>
  <c r="Y88"/>
  <c r="X39"/>
  <c r="W36"/>
  <c r="Y112"/>
  <c r="W110"/>
  <c r="X73"/>
  <c r="X57"/>
  <c r="Y39"/>
  <c r="X30"/>
  <c r="Y13"/>
  <c r="X118"/>
  <c r="X19"/>
  <c r="W112"/>
  <c r="U132"/>
  <c r="X110"/>
  <c r="X104"/>
  <c r="V87"/>
  <c r="W80"/>
  <c r="Y73"/>
  <c r="V71"/>
  <c r="Y57"/>
  <c r="Y30"/>
  <c r="X28"/>
  <c r="Y63"/>
  <c r="X112"/>
  <c r="U110"/>
  <c r="W30"/>
  <c r="X87"/>
  <c r="Y71"/>
  <c r="X65"/>
  <c r="Y55"/>
  <c r="X48"/>
  <c r="V108"/>
  <c r="W64"/>
  <c r="U62"/>
  <c r="X56"/>
  <c r="W46"/>
  <c r="V20"/>
  <c r="X78"/>
  <c r="Y37"/>
  <c r="W28"/>
  <c r="X11"/>
  <c r="X102"/>
  <c r="X96"/>
  <c r="X89"/>
  <c r="U84"/>
  <c r="W56"/>
  <c r="U54"/>
  <c r="X12"/>
  <c r="W72"/>
  <c r="W70"/>
  <c r="X64"/>
  <c r="W62"/>
  <c r="Y56"/>
  <c r="W38"/>
  <c r="V27"/>
  <c r="U22"/>
  <c r="W20"/>
  <c r="W14"/>
  <c r="W133"/>
  <c r="W128"/>
  <c r="W126"/>
  <c r="X120"/>
  <c r="Y111"/>
  <c r="V100"/>
  <c r="X94"/>
  <c r="X79"/>
  <c r="U78"/>
  <c r="Y72"/>
  <c r="Y64"/>
  <c r="X62"/>
  <c r="U53"/>
  <c r="Y38"/>
  <c r="U37"/>
  <c r="X31"/>
  <c r="W27"/>
  <c r="V22"/>
  <c r="X20"/>
  <c r="X14"/>
  <c r="U11"/>
  <c r="V46"/>
  <c r="W116"/>
  <c r="W108"/>
  <c r="Y105"/>
  <c r="Y96"/>
  <c r="W54"/>
  <c r="U43"/>
  <c r="V38"/>
  <c r="Y23"/>
  <c r="U14"/>
  <c r="U133"/>
  <c r="W79"/>
  <c r="X54"/>
  <c r="X133"/>
  <c r="Y128"/>
  <c r="Y120"/>
  <c r="V78"/>
  <c r="V53"/>
  <c r="X47"/>
  <c r="V37"/>
  <c r="Y31"/>
  <c r="X22"/>
  <c r="Y20"/>
  <c r="V13"/>
  <c r="V11"/>
  <c r="X23"/>
  <c r="X53"/>
  <c r="X37"/>
  <c r="Y22"/>
  <c r="W13"/>
  <c r="W11"/>
  <c r="Y86"/>
  <c r="Y29"/>
  <c r="U126"/>
  <c r="U122"/>
  <c r="Y118"/>
  <c r="Y102"/>
  <c r="Y94"/>
  <c r="V93"/>
  <c r="W88"/>
  <c r="U70"/>
  <c r="V47"/>
  <c r="Y41"/>
  <c r="U21"/>
  <c r="V12"/>
  <c r="X127"/>
  <c r="V126"/>
  <c r="W120"/>
  <c r="Y110"/>
  <c r="W104"/>
  <c r="W96"/>
  <c r="X88"/>
  <c r="Y80"/>
  <c r="V79"/>
  <c r="X71"/>
  <c r="V70"/>
  <c r="Y62"/>
  <c r="Y54"/>
  <c r="W53"/>
  <c r="W47"/>
  <c r="U46"/>
  <c r="X38"/>
  <c r="U36"/>
  <c r="W31"/>
  <c r="U27"/>
  <c r="V21"/>
  <c r="Y14"/>
  <c r="X13"/>
  <c r="W12"/>
  <c r="U86"/>
  <c r="U76"/>
  <c r="Y49"/>
  <c r="U45"/>
  <c r="X21"/>
  <c r="Y126"/>
  <c r="W125"/>
  <c r="W119"/>
  <c r="U118"/>
  <c r="V111"/>
  <c r="W103"/>
  <c r="U102"/>
  <c r="W95"/>
  <c r="U94"/>
  <c r="V86"/>
  <c r="X81"/>
  <c r="Y79"/>
  <c r="Y70"/>
  <c r="V69"/>
  <c r="V63"/>
  <c r="V55"/>
  <c r="V52"/>
  <c r="X46"/>
  <c r="V45"/>
  <c r="X40"/>
  <c r="X36"/>
  <c r="U35"/>
  <c r="V29"/>
  <c r="U19"/>
  <c r="V125"/>
  <c r="U29"/>
  <c r="Y12"/>
  <c r="X125"/>
  <c r="X119"/>
  <c r="V118"/>
  <c r="W111"/>
  <c r="X103"/>
  <c r="V102"/>
  <c r="X95"/>
  <c r="V94"/>
  <c r="W86"/>
  <c r="Y81"/>
  <c r="W69"/>
  <c r="W63"/>
  <c r="W55"/>
  <c r="W45"/>
  <c r="Y40"/>
  <c r="V35"/>
  <c r="W29"/>
  <c r="V19"/>
  <c r="V119"/>
  <c r="V103"/>
  <c r="V95"/>
  <c r="Y47"/>
  <c r="W40"/>
  <c r="V133"/>
  <c r="X128"/>
  <c r="Y119"/>
  <c r="X111"/>
  <c r="X105"/>
  <c r="Y103"/>
  <c r="X97"/>
  <c r="Y95"/>
  <c r="Y89"/>
  <c r="X72"/>
  <c r="X63"/>
  <c r="X55"/>
  <c r="W48"/>
  <c r="X45"/>
  <c r="W39"/>
  <c r="W35"/>
  <c r="V28"/>
  <c r="W23"/>
  <c r="W19"/>
  <c r="U130"/>
  <c r="Y15"/>
  <c r="Y107"/>
  <c r="X107"/>
  <c r="W107"/>
  <c r="X98"/>
  <c r="W98"/>
  <c r="V98"/>
  <c r="U98"/>
  <c r="Y92"/>
  <c r="X92"/>
  <c r="W92"/>
  <c r="Y61"/>
  <c r="X61"/>
  <c r="Y123"/>
  <c r="X123"/>
  <c r="W123"/>
  <c r="W121"/>
  <c r="V121"/>
  <c r="U121"/>
  <c r="Y101"/>
  <c r="X101"/>
  <c r="Y68"/>
  <c r="X68"/>
  <c r="W68"/>
  <c r="Y59"/>
  <c r="X59"/>
  <c r="W59"/>
  <c r="V59"/>
  <c r="Y50"/>
  <c r="X50"/>
  <c r="W50"/>
  <c r="V50"/>
  <c r="U50"/>
  <c r="Y131"/>
  <c r="X131"/>
  <c r="W131"/>
  <c r="W129"/>
  <c r="V129"/>
  <c r="U129"/>
  <c r="Y99"/>
  <c r="X99"/>
  <c r="W99"/>
  <c r="V99"/>
  <c r="X90"/>
  <c r="W90"/>
  <c r="V90"/>
  <c r="U90"/>
  <c r="Y77"/>
  <c r="X77"/>
  <c r="Y26"/>
  <c r="X26"/>
  <c r="W26"/>
  <c r="V26"/>
  <c r="U26"/>
  <c r="Y10"/>
  <c r="X10"/>
  <c r="W10"/>
  <c r="V10"/>
  <c r="U10"/>
  <c r="Y108"/>
  <c r="X108"/>
  <c r="Y84"/>
  <c r="X84"/>
  <c r="W84"/>
  <c r="Y75"/>
  <c r="X75"/>
  <c r="W75"/>
  <c r="V75"/>
  <c r="X66"/>
  <c r="W66"/>
  <c r="V66"/>
  <c r="U66"/>
  <c r="Y51"/>
  <c r="X51"/>
  <c r="W51"/>
  <c r="V51"/>
  <c r="U44"/>
  <c r="Y44"/>
  <c r="X44"/>
  <c r="W44"/>
  <c r="Y98"/>
  <c r="W132"/>
  <c r="U115"/>
  <c r="X113"/>
  <c r="U109"/>
  <c r="V107"/>
  <c r="U92"/>
  <c r="V85"/>
  <c r="U61"/>
  <c r="U123"/>
  <c r="X121"/>
  <c r="U117"/>
  <c r="V109"/>
  <c r="U101"/>
  <c r="V92"/>
  <c r="U68"/>
  <c r="V61"/>
  <c r="U59"/>
  <c r="U131"/>
  <c r="X129"/>
  <c r="U125"/>
  <c r="V123"/>
  <c r="Y121"/>
  <c r="V117"/>
  <c r="W109"/>
  <c r="V101"/>
  <c r="U99"/>
  <c r="Y90"/>
  <c r="U77"/>
  <c r="V68"/>
  <c r="W61"/>
  <c r="Y85"/>
  <c r="X85"/>
  <c r="Y115"/>
  <c r="X115"/>
  <c r="W115"/>
  <c r="W113"/>
  <c r="V113"/>
  <c r="U113"/>
  <c r="Y83"/>
  <c r="X83"/>
  <c r="W83"/>
  <c r="V83"/>
  <c r="Y116"/>
  <c r="X116"/>
  <c r="X114"/>
  <c r="W114"/>
  <c r="V114"/>
  <c r="X106"/>
  <c r="W106"/>
  <c r="V106"/>
  <c r="U106"/>
  <c r="Y93"/>
  <c r="X93"/>
  <c r="Y60"/>
  <c r="X60"/>
  <c r="W60"/>
  <c r="U85"/>
  <c r="W117"/>
  <c r="X109"/>
  <c r="W101"/>
  <c r="X74"/>
  <c r="W74"/>
  <c r="V74"/>
  <c r="U74"/>
  <c r="Y124"/>
  <c r="X124"/>
  <c r="X122"/>
  <c r="W122"/>
  <c r="V122"/>
  <c r="Y100"/>
  <c r="X100"/>
  <c r="W100"/>
  <c r="Y91"/>
  <c r="X91"/>
  <c r="W91"/>
  <c r="V91"/>
  <c r="X82"/>
  <c r="W82"/>
  <c r="V82"/>
  <c r="U82"/>
  <c r="Y69"/>
  <c r="X69"/>
  <c r="Y34"/>
  <c r="X34"/>
  <c r="W34"/>
  <c r="V34"/>
  <c r="U34"/>
  <c r="Y18"/>
  <c r="X18"/>
  <c r="W18"/>
  <c r="V18"/>
  <c r="U18"/>
  <c r="U107"/>
  <c r="X117"/>
  <c r="U116"/>
  <c r="U114"/>
  <c r="Y106"/>
  <c r="U93"/>
  <c r="W77"/>
  <c r="U60"/>
  <c r="Y132"/>
  <c r="X132"/>
  <c r="X130"/>
  <c r="W130"/>
  <c r="V130"/>
  <c r="Y76"/>
  <c r="X76"/>
  <c r="W76"/>
  <c r="Y67"/>
  <c r="X67"/>
  <c r="W67"/>
  <c r="V67"/>
  <c r="X58"/>
  <c r="W58"/>
  <c r="V58"/>
  <c r="U58"/>
  <c r="Y52"/>
  <c r="X52"/>
  <c r="W52"/>
  <c r="Y42"/>
  <c r="X42"/>
  <c r="W42"/>
  <c r="V42"/>
  <c r="U42"/>
  <c r="V43"/>
  <c r="U105"/>
  <c r="U97"/>
  <c r="U89"/>
  <c r="U81"/>
  <c r="U73"/>
  <c r="U65"/>
  <c r="U57"/>
  <c r="U49"/>
  <c r="W43"/>
  <c r="U41"/>
  <c r="U33"/>
  <c r="U25"/>
  <c r="U17"/>
  <c r="U9"/>
  <c r="U128"/>
  <c r="U120"/>
  <c r="U112"/>
  <c r="V105"/>
  <c r="U104"/>
  <c r="V97"/>
  <c r="U96"/>
  <c r="V89"/>
  <c r="U88"/>
  <c r="V81"/>
  <c r="U80"/>
  <c r="V73"/>
  <c r="U72"/>
  <c r="V65"/>
  <c r="U64"/>
  <c r="V57"/>
  <c r="U56"/>
  <c r="V49"/>
  <c r="U48"/>
  <c r="X43"/>
  <c r="V41"/>
  <c r="U40"/>
  <c r="X35"/>
  <c r="V33"/>
  <c r="U32"/>
  <c r="Y28"/>
  <c r="X27"/>
  <c r="V25"/>
  <c r="U24"/>
  <c r="V17"/>
  <c r="U16"/>
  <c r="V9"/>
  <c r="W49"/>
  <c r="W41"/>
  <c r="W33"/>
  <c r="V32"/>
  <c r="U31"/>
  <c r="W25"/>
  <c r="V24"/>
  <c r="U23"/>
  <c r="W17"/>
  <c r="V16"/>
  <c r="U15"/>
  <c r="W9"/>
  <c r="X33"/>
  <c r="W32"/>
  <c r="X25"/>
  <c r="W24"/>
  <c r="X17"/>
  <c r="W16"/>
  <c r="V15"/>
  <c r="X9"/>
  <c r="X32"/>
  <c r="X24"/>
  <c r="X16"/>
  <c r="W15"/>
  <c r="C6" i="26"/>
  <c r="U8" i="33"/>
  <c r="Y8"/>
  <c r="W8"/>
  <c r="X8"/>
</calcChain>
</file>

<file path=xl/comments1.xml><?xml version="1.0" encoding="utf-8"?>
<comments xmlns="http://schemas.openxmlformats.org/spreadsheetml/2006/main">
  <authors>
    <author>uidw0522</author>
  </authors>
  <commentList>
    <comment ref="C1" authorId="0">
      <text>
        <r>
          <rPr>
            <b/>
            <sz val="9"/>
            <color indexed="81"/>
            <rFont val="Tahoma"/>
            <family val="2"/>
          </rPr>
          <t>Display mode can support multi mode, format is: "_" to concate them</t>
        </r>
      </text>
    </comment>
    <comment ref="E1" authorId="0">
      <text>
        <r>
          <rPr>
            <b/>
            <sz val="9"/>
            <color indexed="81"/>
            <rFont val="Tahoma"/>
            <family val="2"/>
          </rPr>
          <t>Cannot be empty, if "-" was input, warning strategy will not generated</t>
        </r>
        <r>
          <rPr>
            <sz val="9"/>
            <color indexed="81"/>
            <rFont val="Tahoma"/>
            <family val="2"/>
          </rPr>
          <t xml:space="preserve">
</t>
        </r>
      </text>
    </comment>
    <comment ref="M1" authorId="0">
      <text>
        <r>
          <rPr>
            <b/>
            <sz val="9"/>
            <color indexed="81"/>
            <rFont val="Tahoma"/>
            <family val="2"/>
          </rPr>
          <t>PopupBitmap0 will be reused for:
TelltalesP14 -&gt;TelltaleBitmap
Warning2I -&gt; PopupBitmap0
Warning -&gt; PopupBitmap
WarningObjectType</t>
        </r>
      </text>
    </comment>
    <comment ref="N1" authorId="0">
      <text>
        <r>
          <rPr>
            <b/>
            <sz val="9"/>
            <color indexed="81"/>
            <rFont val="Tahoma"/>
            <family val="2"/>
          </rPr>
          <t>PopupBitmap0 will be reused for:
TelltalesP14 -&gt;TelltaleBitmap
Warning2I -&gt; PopupBitmap0
Warning -&gt; PopupBitmap
WarningObjectType</t>
        </r>
      </text>
    </comment>
  </commentList>
</comments>
</file>

<file path=xl/sharedStrings.xml><?xml version="1.0" encoding="utf-8"?>
<sst xmlns="http://schemas.openxmlformats.org/spreadsheetml/2006/main" count="6656" uniqueCount="1674">
  <si>
    <t>No</t>
  </si>
  <si>
    <t>Name</t>
  </si>
  <si>
    <t>WarningStrategy</t>
  </si>
  <si>
    <t>A</t>
  </si>
  <si>
    <t>Yes</t>
  </si>
  <si>
    <t>B</t>
  </si>
  <si>
    <t>IgnON</t>
  </si>
  <si>
    <t>WarningExtensionSupportType[]</t>
  </si>
  <si>
    <t>WSPopup</t>
  </si>
  <si>
    <t>WSList</t>
  </si>
  <si>
    <t>TypeID</t>
  </si>
  <si>
    <t>-</t>
  </si>
  <si>
    <t>AddNewWarningPolicy</t>
  </si>
  <si>
    <t>SelectNextWarningPolicy</t>
  </si>
  <si>
    <t>InsertFifo</t>
  </si>
  <si>
    <t>C</t>
  </si>
  <si>
    <t>TelltaleP14ExtensionSupportType[]</t>
  </si>
  <si>
    <t>Dispatcher Name</t>
  </si>
  <si>
    <t>Start</t>
  </si>
  <si>
    <t>End</t>
  </si>
  <si>
    <t>WarningTypes</t>
  </si>
  <si>
    <t>Row Number in this Sheet "WarningHelper"</t>
  </si>
  <si>
    <t>TelltalesP14</t>
  </si>
  <si>
    <t>Warnings</t>
  </si>
  <si>
    <t>DoorOpen</t>
  </si>
  <si>
    <t>GE_FE_7Inch_Display</t>
  </si>
  <si>
    <t>CruiseLamp</t>
  </si>
  <si>
    <t>TT</t>
  </si>
  <si>
    <t>WSTT16Pos</t>
  </si>
  <si>
    <t>WSTT10Pos</t>
  </si>
  <si>
    <t>WSTT12Pos</t>
  </si>
  <si>
    <t>WSTT9Pos</t>
  </si>
  <si>
    <t>WSTT8Pos</t>
  </si>
  <si>
    <t>WSTT6Pos</t>
  </si>
  <si>
    <t>WSTT7Pos</t>
  </si>
  <si>
    <t>WSTT13Pos</t>
  </si>
  <si>
    <t>WSTT5Pos</t>
  </si>
  <si>
    <t>WSTT14Pos</t>
  </si>
  <si>
    <t>WSTT15Pos</t>
  </si>
  <si>
    <t>WSTT11Pos</t>
  </si>
  <si>
    <t>WSTT1Pos</t>
  </si>
  <si>
    <t>WSTT2Pos</t>
  </si>
  <si>
    <t>WSTT3Pos</t>
  </si>
  <si>
    <t>WSTT4Pos</t>
  </si>
  <si>
    <t>InsertReversePrioAndSubprio</t>
  </si>
  <si>
    <t>door_open_car</t>
  </si>
  <si>
    <t>IgnOFF_IgnON</t>
  </si>
  <si>
    <t>TS_DoorOpen</t>
  </si>
  <si>
    <t>TS_InfiniteTS</t>
  </si>
  <si>
    <t>TS_A_MaxTime</t>
  </si>
  <si>
    <t>TS_B_MaxTime</t>
  </si>
  <si>
    <t>中文</t>
  </si>
  <si>
    <t>英文</t>
  </si>
  <si>
    <t>Font_fog_light</t>
  </si>
  <si>
    <t>Rear_fog_light</t>
  </si>
  <si>
    <t>Position_light</t>
  </si>
  <si>
    <t>Low_Beam</t>
  </si>
  <si>
    <t>DRL</t>
  </si>
  <si>
    <t>EPB_Eeeor</t>
  </si>
  <si>
    <t>AVH</t>
  </si>
  <si>
    <t>ESC</t>
  </si>
  <si>
    <t>ESC_OFF</t>
  </si>
  <si>
    <t>OIL_Pressure</t>
  </si>
  <si>
    <t>Cruise_control</t>
  </si>
  <si>
    <t>Adaptive_cruise_control</t>
  </si>
  <si>
    <t>Adaptive_cruise_control_failure</t>
  </si>
  <si>
    <t>AEB_State</t>
  </si>
  <si>
    <t>Intelligent_Cruise_Control</t>
  </si>
  <si>
    <t>TCU</t>
  </si>
  <si>
    <t>EPS</t>
  </si>
  <si>
    <t>start_stop</t>
  </si>
  <si>
    <t>ECO</t>
  </si>
  <si>
    <t>Sport</t>
  </si>
  <si>
    <t>EPT_fault</t>
  </si>
  <si>
    <t>LSG_Over_Temp</t>
  </si>
  <si>
    <t>Battery_Fault</t>
  </si>
  <si>
    <t>Turtle_Lamp</t>
  </si>
  <si>
    <t>READY</t>
  </si>
  <si>
    <t>EV</t>
  </si>
  <si>
    <t>HEV</t>
  </si>
  <si>
    <t>SAVE</t>
  </si>
  <si>
    <t>BMS_Charge</t>
  </si>
  <si>
    <t>Blind_spot_switch</t>
  </si>
  <si>
    <t>Blind_spot_switch_3</t>
  </si>
  <si>
    <t>SelectCustom</t>
  </si>
  <si>
    <t>High_Beam</t>
  </si>
  <si>
    <t>AEB_State_2</t>
  </si>
  <si>
    <t>AVAS</t>
  </si>
  <si>
    <t>EPB</t>
  </si>
  <si>
    <t>DisplayMode</t>
  </si>
  <si>
    <t>Category</t>
  </si>
  <si>
    <t>StrategyState</t>
  </si>
  <si>
    <t>Priority</t>
  </si>
  <si>
    <t>SubPrio</t>
  </si>
  <si>
    <t>Generate</t>
  </si>
  <si>
    <t>TimeSpanList</t>
  </si>
  <si>
    <t>PopupBitmap</t>
  </si>
  <si>
    <t>FrontFog</t>
  </si>
  <si>
    <t>RearFog</t>
  </si>
  <si>
    <t>LowBeam</t>
  </si>
  <si>
    <t>HighCoolantTemp</t>
  </si>
  <si>
    <t>DayLight</t>
  </si>
  <si>
    <t>PositionLight</t>
  </si>
  <si>
    <t>IHBCRed</t>
  </si>
  <si>
    <t>IHBCGreen</t>
  </si>
  <si>
    <t>HighBeam</t>
  </si>
  <si>
    <t>ACCGreen</t>
  </si>
  <si>
    <t>ACCGrey</t>
  </si>
  <si>
    <t>ACCError</t>
  </si>
  <si>
    <t>HDCYellow</t>
  </si>
  <si>
    <t>HDCGreen</t>
  </si>
  <si>
    <t>ID</t>
  </si>
  <si>
    <t>Enable
[True / 
False /
 Marco]</t>
  </si>
  <si>
    <t>Pre-Check
[On / Off/
Depend]</t>
  </si>
  <si>
    <t>IGN ON
[Ture / 
False]</t>
  </si>
  <si>
    <t>IGN OFF
[Ture / 
False]</t>
  </si>
  <si>
    <t>Sound ID
Empyt / 0: 
No Sound</t>
  </si>
  <si>
    <t>Debounce
[ms]
Empty / 0: 
No Debounce</t>
  </si>
  <si>
    <t>Timer cycle
[ms]
Empty / 0: 
No Timer</t>
  </si>
  <si>
    <t>Input Condition</t>
  </si>
  <si>
    <t>StateChange Hook Enable</t>
  </si>
  <si>
    <t>Yellow</t>
  </si>
  <si>
    <t>ABS</t>
  </si>
  <si>
    <t>LED</t>
  </si>
  <si>
    <t>True</t>
  </si>
  <si>
    <t>On</t>
  </si>
  <si>
    <t>False</t>
  </si>
  <si>
    <t>WRN__u16ESCDelayTime</t>
  </si>
  <si>
    <t>Disable</t>
  </si>
  <si>
    <t>EBD</t>
  </si>
  <si>
    <t>制动液位低指示灯</t>
  </si>
  <si>
    <t>Red</t>
  </si>
  <si>
    <t>BrakeFluidLow</t>
  </si>
  <si>
    <t>tLo == DIO_vGetData_TT_IN_BrakeFluidLow()</t>
  </si>
  <si>
    <t>EPB驻车制动指示灯</t>
  </si>
  <si>
    <t>EPBRed</t>
  </si>
  <si>
    <t>LCD</t>
  </si>
  <si>
    <t>Depend</t>
  </si>
  <si>
    <t>Green</t>
  </si>
  <si>
    <t>EPBGreen</t>
  </si>
  <si>
    <t>(1 == CAN_u8InESC_AVHStatus())&amp;&amp;(1 != CAN_u8InESC_EPBStatus())&amp;&amp;(2 != CAN_u8InESC_EPBStatus())</t>
  </si>
  <si>
    <t>安全气囊故障指示灯</t>
  </si>
  <si>
    <t>DriverAirBag</t>
  </si>
  <si>
    <t>WRN__u16AirbagDelayTime</t>
  </si>
  <si>
    <t>位置灯指示灯</t>
  </si>
  <si>
    <t>CAN_boInBCM_PositionLightSts()</t>
  </si>
  <si>
    <t>SVS指示灯</t>
  </si>
  <si>
    <t>EngineSVS</t>
  </si>
  <si>
    <t>CAN_boInEMS_EngineSVSTelltale()</t>
  </si>
  <si>
    <t>发动机排放故障指示灯</t>
  </si>
  <si>
    <t>EngineErr</t>
  </si>
  <si>
    <t>ESC电子稳定控制指示灯</t>
  </si>
  <si>
    <t>ESPWarning</t>
  </si>
  <si>
    <t>Macro</t>
  </si>
  <si>
    <t xml:space="preserve">ESC OFF
电子稳定控制关闭指示灯
</t>
  </si>
  <si>
    <t>ESPOff</t>
  </si>
  <si>
    <t>Off</t>
  </si>
  <si>
    <t>CAN_boInESC_PATAResponse()==False</t>
  </si>
  <si>
    <t>机油压力低指示灯</t>
  </si>
  <si>
    <t>OilPressureLow</t>
  </si>
  <si>
    <t>WRN__u16OilLowDebounceTime</t>
  </si>
  <si>
    <t>TransmissionRed</t>
  </si>
  <si>
    <t>CAN_boInTCU_WarningMsgRed()</t>
  </si>
  <si>
    <t>TransmissionYellow</t>
  </si>
  <si>
    <t>CAN_boInTCU_WarningMsgYellow()&amp;&amp;(False == CAN_boInTCU_WarningMsgRed())</t>
  </si>
  <si>
    <t>高水温指示灯</t>
  </si>
  <si>
    <t>燃油量低指示灯</t>
  </si>
  <si>
    <t>LowFuel</t>
  </si>
  <si>
    <t>TPMS胎压低指示灯</t>
  </si>
  <si>
    <t>TPMSLowPressure</t>
  </si>
  <si>
    <t>TPMS故障指示灯</t>
  </si>
  <si>
    <t>TPMSError</t>
  </si>
  <si>
    <t>TurnLeft</t>
  </si>
  <si>
    <t>1 == CAN_boInBCM_TurnIndicatorLeft()</t>
  </si>
  <si>
    <t>Enable</t>
  </si>
  <si>
    <t>TurnRight</t>
  </si>
  <si>
    <t>1 == CAN_boInBCM_TurnIndicatorRight()</t>
  </si>
  <si>
    <t>Blue</t>
  </si>
  <si>
    <t>1 == CAN_boInBCM_HighBeamSts()</t>
  </si>
  <si>
    <t>1 == CAN_boInBCM_FrontFogLightSts()</t>
  </si>
  <si>
    <t>1 == CAN_boInBCM_RearFogLightSts()</t>
  </si>
  <si>
    <t>EPB错误</t>
  </si>
  <si>
    <t>EPBError</t>
  </si>
  <si>
    <t>1 == CAN_boInESC_EPBErrorStatus()</t>
  </si>
  <si>
    <t>AVH状态指示灯（红）</t>
  </si>
  <si>
    <t>AVHStatusRed</t>
  </si>
  <si>
    <t>3 == CAN_u8InESC_AVHStatus()</t>
  </si>
  <si>
    <t>AVH状态指示灯（绿）</t>
  </si>
  <si>
    <t>AVHStatusGreen</t>
  </si>
  <si>
    <t>(1 == CAN_u8InESC_AVHStatus())||(2 == CAN_u8InESC_AVHStatus())</t>
  </si>
  <si>
    <t>EPS助力转向故障</t>
  </si>
  <si>
    <t>EPSFailure</t>
  </si>
  <si>
    <t>1 == CAN_boInEPS_EpasFailed()</t>
  </si>
  <si>
    <t>安全带未系指示灯</t>
  </si>
  <si>
    <t>Seatbelt</t>
  </si>
  <si>
    <t>(((uint32)WRN__u16SeatbeltDurationTime)&lt;&lt;2)</t>
  </si>
  <si>
    <t>电池充电指示</t>
  </si>
  <si>
    <t>BatteryCharge</t>
  </si>
  <si>
    <t>安全带报警声</t>
  </si>
  <si>
    <t>SeatbeltSnd</t>
  </si>
  <si>
    <t>Sound</t>
  </si>
  <si>
    <t>DoorOpenFL</t>
  </si>
  <si>
    <t>DoorOpenFR</t>
  </si>
  <si>
    <t>DoorOpenRL</t>
  </si>
  <si>
    <t>DoorOpenRR</t>
  </si>
  <si>
    <t>DoorOpenHood</t>
  </si>
  <si>
    <t>DoorOpenTrunk</t>
  </si>
  <si>
    <t>水温提示标志</t>
  </si>
  <si>
    <t>CoolantTempTip</t>
  </si>
  <si>
    <t>WRN_nenOff == WRN_enGetActiveWarning(WRN_nenLED_HighCoolantTemp)</t>
  </si>
  <si>
    <t>巡航指示灯</t>
  </si>
  <si>
    <t>ACC指示灯(绿)</t>
  </si>
  <si>
    <t>ACC指示灯(灰)</t>
  </si>
  <si>
    <t>Grey</t>
  </si>
  <si>
    <t>ACC错误指示灯</t>
  </si>
  <si>
    <t>启停指示灯(黄)</t>
  </si>
  <si>
    <t>StartStopYellow</t>
  </si>
  <si>
    <t>2 == CAN_u8InEMS_SSMLampIndication()</t>
  </si>
  <si>
    <t>启停指示灯(绿)</t>
  </si>
  <si>
    <t>StartStopGreen</t>
  </si>
  <si>
    <t>1 == CAN_u8InEMS_SSMLampIndication()</t>
  </si>
  <si>
    <t>陡坡缓降指示灯(黄)</t>
  </si>
  <si>
    <t>陡坡缓降指示灯(绿)</t>
  </si>
  <si>
    <t>近光灯</t>
  </si>
  <si>
    <t>智能远光指示灯(红)</t>
  </si>
  <si>
    <t>智能远光指示灯(绿)</t>
  </si>
  <si>
    <t>前碰撞预警指示灯(红)</t>
  </si>
  <si>
    <t>FRSRed</t>
  </si>
  <si>
    <t>(2 == CAN_u8InFRS_AEB_Status())||(3 == CAN_u8InFRS_AEB_Status())</t>
  </si>
  <si>
    <t>前碰撞预警指示灯(黄)</t>
  </si>
  <si>
    <t>FRSYellow</t>
  </si>
  <si>
    <r>
      <t>盲点开关</t>
    </r>
    <r>
      <rPr>
        <sz val="11"/>
        <rFont val="Times New Roman"/>
        <family val="1"/>
      </rPr>
      <t>指示灯(黄)</t>
    </r>
  </si>
  <si>
    <t>BSDYellow</t>
  </si>
  <si>
    <r>
      <t>盲点开关</t>
    </r>
    <r>
      <rPr>
        <sz val="11"/>
        <rFont val="Times New Roman"/>
        <family val="1"/>
      </rPr>
      <t>指示灯(绿)</t>
    </r>
  </si>
  <si>
    <t>BSDGreen</t>
  </si>
  <si>
    <r>
      <t>盲点开关</t>
    </r>
    <r>
      <rPr>
        <sz val="11"/>
        <rFont val="Times New Roman"/>
        <family val="1"/>
      </rPr>
      <t>指示灯(红)</t>
    </r>
  </si>
  <si>
    <t>BSDRed</t>
  </si>
  <si>
    <t>领航报警指示灯(灰)</t>
  </si>
  <si>
    <t>ICCGrey</t>
  </si>
  <si>
    <t>领航报警指示灯(绿)</t>
  </si>
  <si>
    <t>ICCGreen</t>
  </si>
  <si>
    <t>领航报警指示灯(黄)</t>
  </si>
  <si>
    <t>ICCYellow</t>
  </si>
  <si>
    <t>领航报警指示灯(红)</t>
  </si>
  <si>
    <t>ICCRed</t>
  </si>
  <si>
    <t>LKA报警指示灯(红)</t>
  </si>
  <si>
    <t>LKARed</t>
  </si>
  <si>
    <t>LKA报警指示灯(绿)</t>
  </si>
  <si>
    <t>LKAGreen</t>
  </si>
  <si>
    <t>ECO状态指示灯</t>
  </si>
  <si>
    <t>ECOTip</t>
  </si>
  <si>
    <t>Sport状态指示灯</t>
  </si>
  <si>
    <t>SportTip</t>
  </si>
  <si>
    <t>PHEVModeEV</t>
  </si>
  <si>
    <t>PHEVModeHEV</t>
  </si>
  <si>
    <t>PHEVModeSAVE</t>
  </si>
  <si>
    <t>PHEV ready指示灯</t>
  </si>
  <si>
    <t>PHEVReady</t>
  </si>
  <si>
    <t>PHEV 系统故障指示灯</t>
  </si>
  <si>
    <t>PHEVError</t>
  </si>
  <si>
    <t>PHEV 电机过热指示灯</t>
  </si>
  <si>
    <t>IsgOverTemp</t>
  </si>
  <si>
    <t>PHEV 动力电池故障指示灯</t>
  </si>
  <si>
    <t>BatteryFault</t>
  </si>
  <si>
    <t>PHEV 龟速行驶故障指示灯</t>
  </si>
  <si>
    <t>TurtleLampOn</t>
  </si>
  <si>
    <t>PHEV充电连接指示灯</t>
  </si>
  <si>
    <t>ChargeCCline</t>
  </si>
  <si>
    <t>PHEV充电状态指示灯</t>
  </si>
  <si>
    <t>ChargeLed</t>
  </si>
  <si>
    <t>AVAS状态指示灯</t>
  </si>
  <si>
    <t>AVASState</t>
  </si>
  <si>
    <t>无钥匙启动系统故障</t>
  </si>
  <si>
    <t>IGN1继电器故障，需要维修</t>
  </si>
  <si>
    <t>伴我回家开启</t>
  </si>
  <si>
    <t>TPMS信号异常</t>
  </si>
  <si>
    <t>制动灯故障</t>
  </si>
  <si>
    <t>位置灯故障</t>
  </si>
  <si>
    <t>倒车灯故障</t>
  </si>
  <si>
    <t>后雾灯故障</t>
  </si>
  <si>
    <t>转向灯故障</t>
  </si>
  <si>
    <t>近光灯故障</t>
  </si>
  <si>
    <t>副安全气囊关闭</t>
  </si>
  <si>
    <t>前方雷达功能受限</t>
  </si>
  <si>
    <t>请手握方向盘</t>
  </si>
  <si>
    <t>前方摄像头功能受限</t>
  </si>
  <si>
    <t>限速辅助系统不可用</t>
  </si>
  <si>
    <t>请清洁雷达表面</t>
  </si>
  <si>
    <t>Ihbc_2</t>
  </si>
  <si>
    <t>Ihbc</t>
  </si>
  <si>
    <t>Adaptive_cruise_control_2</t>
  </si>
  <si>
    <t>Intelligent_Cruise_Control_2</t>
  </si>
  <si>
    <t>Intelligent_Cruise_Control_3</t>
  </si>
  <si>
    <t>Hill_descent_control</t>
  </si>
  <si>
    <t>Hill_descent_control_2</t>
  </si>
  <si>
    <t>start_stop_2</t>
  </si>
  <si>
    <t>LKA</t>
  </si>
  <si>
    <t>TCU_2</t>
  </si>
  <si>
    <t>Blind_spot_switch_2</t>
  </si>
  <si>
    <t>EPB_2</t>
  </si>
  <si>
    <t>AVH_2</t>
  </si>
  <si>
    <t>Engine_coolant_temperature</t>
  </si>
  <si>
    <t>LKA_2</t>
  </si>
  <si>
    <t>Intelligent_Cruise_Control_4</t>
  </si>
  <si>
    <t>HighCoolantTempLCD</t>
  </si>
  <si>
    <t>AEB：请制动</t>
  </si>
  <si>
    <t>转向锁系统故障报警</t>
  </si>
  <si>
    <t>ESCLSysErrorWrn</t>
  </si>
  <si>
    <t>ESCL：转向锁卡滞，请转动方向盘</t>
  </si>
  <si>
    <t>ESCLUnlockFailWrn</t>
  </si>
  <si>
    <t>ESCL：转向锁上锁失败</t>
  </si>
  <si>
    <t>ESCLLockFailWrn</t>
  </si>
  <si>
    <t>ESCL：转向锁认证失败</t>
  </si>
  <si>
    <t>ESCLAuthFailWrn</t>
  </si>
  <si>
    <t>ESCL：转向锁工作电压低</t>
  </si>
  <si>
    <t>ESCLVolLowWrn</t>
  </si>
  <si>
    <t>ESCLVolHighWrn</t>
  </si>
  <si>
    <t>PEPS：未检测到钥匙</t>
  </si>
  <si>
    <t>KeyNotFoundWrn</t>
  </si>
  <si>
    <t>PEPS：请将钥匙靠近杯托启动</t>
  </si>
  <si>
    <t>KeyCloserWrn</t>
  </si>
  <si>
    <t>PEPS：防盗认证失败</t>
  </si>
  <si>
    <t>IMMOFailWrn</t>
  </si>
  <si>
    <t>PEPS：发动机禁止启动</t>
  </si>
  <si>
    <t>EngForbidWrn</t>
  </si>
  <si>
    <t>请踩刹车启动</t>
  </si>
  <si>
    <t>PressBrakeToStartWrn</t>
  </si>
  <si>
    <t>请踩离合启动</t>
  </si>
  <si>
    <t>PressClutchToStartWrn</t>
  </si>
  <si>
    <t>请挂入P档或N档启动</t>
  </si>
  <si>
    <t>ShiftPNToStartWrn</t>
  </si>
  <si>
    <t>请重新上电，挂入P档驻车</t>
  </si>
  <si>
    <t>ShiftPToParkWrn</t>
  </si>
  <si>
    <t>同时踩下制动踏板</t>
  </si>
  <si>
    <t>EPBPressBreakWrn</t>
  </si>
  <si>
    <t>请系上安全带并关闭车门</t>
  </si>
  <si>
    <t>CloseDoorWithStbtWrn</t>
  </si>
  <si>
    <t>请系安全带</t>
  </si>
  <si>
    <t>EPBCloseSeatbeltWrn</t>
  </si>
  <si>
    <t>自动变速箱过热,等候</t>
  </si>
  <si>
    <t>TCUOverTempWrnWait</t>
  </si>
  <si>
    <t>自动变速箱过热</t>
  </si>
  <si>
    <t>TCUOverTempWrn</t>
  </si>
  <si>
    <t>进入经济模式</t>
  </si>
  <si>
    <t>EnterECOModeWrn</t>
  </si>
  <si>
    <t>进入运动模式</t>
  </si>
  <si>
    <t>EnterSportModeWrn</t>
  </si>
  <si>
    <t>不能进入经济模式</t>
  </si>
  <si>
    <t>EnterEcoFailWrn</t>
  </si>
  <si>
    <t>不能进入运动模式</t>
  </si>
  <si>
    <t>EnterSportFailWrn</t>
  </si>
  <si>
    <t>请挂D档</t>
  </si>
  <si>
    <t>ShiftDWrn</t>
  </si>
  <si>
    <t>DCT操作：请把拨杆拨回至右边</t>
  </si>
  <si>
    <t>TurnKnobRightWrn</t>
  </si>
  <si>
    <t>DCT操作：请踩刹车</t>
  </si>
  <si>
    <t>PressBrakeWrn</t>
  </si>
  <si>
    <t>DCT操作：请按解锁键</t>
  </si>
  <si>
    <t>PressUnlockWrn</t>
  </si>
  <si>
    <t>DCT操作：请踩刹车并按解锁键</t>
  </si>
  <si>
    <t>PressBrakeUnlockWrn</t>
  </si>
  <si>
    <t>DCT操作：请静止时再入P档</t>
  </si>
  <si>
    <t>StopShiftPWrn</t>
  </si>
  <si>
    <t>定速巡航系统开启</t>
  </si>
  <si>
    <t>定速巡航系统退出</t>
  </si>
  <si>
    <t>定速巡航系统关闭</t>
  </si>
  <si>
    <t>存在报警菜单不能激活</t>
  </si>
  <si>
    <t>行驶过程中菜单不能激活</t>
  </si>
  <si>
    <t>巡航系统退出</t>
  </si>
  <si>
    <t>巡航系统无法激活</t>
  </si>
  <si>
    <t>自动驻车功能开启</t>
  </si>
  <si>
    <t>AutoHoldEnableWrn</t>
  </si>
  <si>
    <t>陡坡缓降准备中</t>
  </si>
  <si>
    <t>HDCPreparingWrn</t>
  </si>
  <si>
    <t>陡坡缓降已启动</t>
  </si>
  <si>
    <t>HDCActiveWrn</t>
  </si>
  <si>
    <t>陡坡缓降已关闭</t>
  </si>
  <si>
    <t>HDCOffWrn</t>
  </si>
  <si>
    <t>ESC系统关闭</t>
  </si>
  <si>
    <t>ESCOffWrn</t>
  </si>
  <si>
    <t>MaintainRemindWrn</t>
  </si>
  <si>
    <t>PassAirbagClosedWrn</t>
  </si>
  <si>
    <t>燃油低报警：请添加燃油</t>
  </si>
  <si>
    <t>FuelLowWrn</t>
  </si>
  <si>
    <t>疲劳驾驶提醒：请注意休息</t>
  </si>
  <si>
    <t>TiredRemindWrn</t>
  </si>
  <si>
    <t>灯光未关</t>
  </si>
  <si>
    <t>LightLeftOnWrn</t>
  </si>
  <si>
    <t>钥匙电量低</t>
  </si>
  <si>
    <t>KeyBatteryLowWrn</t>
  </si>
  <si>
    <t>系统故障，剩余可以启动x次</t>
  </si>
  <si>
    <t>PowerOnCntWrn</t>
  </si>
  <si>
    <t>IGN1FailureWrn</t>
  </si>
  <si>
    <t>SSBFailureWrn</t>
  </si>
  <si>
    <t>TPMS:传感器未学习</t>
  </si>
  <si>
    <t>TPMSSensorUnlearnWrn</t>
  </si>
  <si>
    <t>胎压过低</t>
  </si>
  <si>
    <t>TirePressLowWrn</t>
  </si>
  <si>
    <t>胎温过高</t>
  </si>
  <si>
    <t>TireTempHighWrn</t>
  </si>
  <si>
    <t>轮胎快速泄压</t>
  </si>
  <si>
    <t>TireFastLeakWrn</t>
  </si>
  <si>
    <t>胎压过高</t>
  </si>
  <si>
    <t>TirePressHighWrn</t>
  </si>
  <si>
    <t>传感器故障</t>
  </si>
  <si>
    <t>TPMSSensorErrorWrn</t>
  </si>
  <si>
    <t>TPMSSignalErrorWrn</t>
  </si>
  <si>
    <t>传感器电量低</t>
  </si>
  <si>
    <t>TPMSSensorVolLowWrn</t>
  </si>
  <si>
    <t>TPMS系统关闭</t>
  </si>
  <si>
    <t>TPMSDisableWrn</t>
  </si>
  <si>
    <t>DCT操作：驻车失效</t>
  </si>
  <si>
    <t>ParkFailWrn</t>
  </si>
  <si>
    <t>DCT操作：联系售后服务检查变速箱</t>
  </si>
  <si>
    <t>MILRequestWrn</t>
  </si>
  <si>
    <t>制动液位过低</t>
  </si>
  <si>
    <t>BrakeFuelLowWrn</t>
  </si>
  <si>
    <t>机油压力过低</t>
  </si>
  <si>
    <t>OilPressLowWrn</t>
  </si>
  <si>
    <t>超速过高，请安全驾驶</t>
  </si>
  <si>
    <t>OverSpeedWrn</t>
  </si>
  <si>
    <t>蓄电池电压过低</t>
  </si>
  <si>
    <t>BatteryLowWrn</t>
  </si>
  <si>
    <t>驻车制动未解除</t>
  </si>
  <si>
    <t>BrakeNotReleaseWrn</t>
  </si>
  <si>
    <t>发动机水温过高</t>
  </si>
  <si>
    <t>HighCoolantWrn</t>
  </si>
  <si>
    <t>安全气囊故障</t>
  </si>
  <si>
    <t>AirbagErrorWrn</t>
  </si>
  <si>
    <t>减速并联系售后服务</t>
  </si>
  <si>
    <t>TCUWarningYellowWrn</t>
  </si>
  <si>
    <t>减速停车并联系售后服务</t>
  </si>
  <si>
    <t>TCUWarningRedWrn</t>
  </si>
  <si>
    <t>电动助力转向故障</t>
  </si>
  <si>
    <t>EpasFailWrn</t>
  </si>
  <si>
    <t>电子驻车系统故障</t>
  </si>
  <si>
    <t>EPBErrorWrn</t>
  </si>
  <si>
    <t>自动驻车功能故障</t>
  </si>
  <si>
    <t>AVHErrorWrn</t>
  </si>
  <si>
    <t>驻车制动功能失效</t>
  </si>
  <si>
    <t>ParkBreakFailWrn</t>
  </si>
  <si>
    <t>液压制动助力辅助工作不正常</t>
  </si>
  <si>
    <t>EBDFailWrn</t>
  </si>
  <si>
    <t>液压制动助力辅助失效</t>
  </si>
  <si>
    <t>EBDDisableWrn</t>
  </si>
  <si>
    <t>坡道辅助功能故障</t>
  </si>
  <si>
    <t>HHCErrorWrn</t>
  </si>
  <si>
    <t>陡坡缓降故障</t>
  </si>
  <si>
    <t>HDCErrorWrn</t>
  </si>
  <si>
    <t>FollowMeHomeWrn</t>
  </si>
  <si>
    <t>BrakeLampFailWrn</t>
  </si>
  <si>
    <t>PositionLampFailWrn</t>
  </si>
  <si>
    <t>LowBeamFailWrn</t>
  </si>
  <si>
    <t>DirLampFailWrn</t>
  </si>
  <si>
    <t>ReverseLampFailWrn</t>
  </si>
  <si>
    <t>RearFogFailWrn</t>
  </si>
  <si>
    <t>FrontRadarLimitWrn</t>
  </si>
  <si>
    <t>请保持安全车距</t>
  </si>
  <si>
    <t>FrontRadarBlindWrn</t>
  </si>
  <si>
    <t>HoldWheelWrn</t>
  </si>
  <si>
    <t>CleanRadarWrn</t>
  </si>
  <si>
    <t>侧后雷达功能受限</t>
  </si>
  <si>
    <t>SideRadarLimitWrn</t>
  </si>
  <si>
    <t>请接管</t>
  </si>
  <si>
    <t>主动提速</t>
  </si>
  <si>
    <t>Warning20</t>
  </si>
  <si>
    <t>Warning21</t>
  </si>
  <si>
    <t>Warning22</t>
  </si>
  <si>
    <t>Warning23</t>
  </si>
  <si>
    <t>Warning24</t>
  </si>
  <si>
    <t>Warning25</t>
  </si>
  <si>
    <t>IgnOFF</t>
  </si>
  <si>
    <t>车速过高，请安全驾驶</t>
  </si>
  <si>
    <t>NA</t>
  </si>
  <si>
    <t>转向锁认证失败</t>
  </si>
  <si>
    <t>请把拨杆拨回至右边</t>
  </si>
  <si>
    <t>请踩刹车</t>
  </si>
  <si>
    <t>请踩刹车并按解锁键</t>
  </si>
  <si>
    <t>请添加燃油</t>
  </si>
  <si>
    <t>转向锁上锁失败</t>
  </si>
  <si>
    <t>未检测到钥匙</t>
  </si>
  <si>
    <t>防盗认证失败</t>
  </si>
  <si>
    <t>请重新上电，挂入P挡驻车</t>
  </si>
  <si>
    <t>转向锁系统故障</t>
  </si>
  <si>
    <t>转向锁卡滞，请转动方向盘</t>
  </si>
  <si>
    <t>驻车失效</t>
  </si>
  <si>
    <t>联系售后服务检查变速箱</t>
  </si>
  <si>
    <t>StringID</t>
  </si>
  <si>
    <t>Wrn_EmptyString</t>
  </si>
  <si>
    <t>Passenger Airbag Off</t>
  </si>
  <si>
    <t>电动尾门发生防夹</t>
  </si>
  <si>
    <t>电动尾门故障</t>
  </si>
  <si>
    <t>LIM SET</t>
  </si>
  <si>
    <t>Navi not active</t>
  </si>
  <si>
    <t>导航未规划路线</t>
  </si>
  <si>
    <t>Mobil Phone Interconnect</t>
  </si>
  <si>
    <t>手机互联</t>
  </si>
  <si>
    <t>Please Disconnect The Charger</t>
  </si>
  <si>
    <t>请拔下充电枪</t>
  </si>
  <si>
    <t>SOC低，无法进入EV模式</t>
  </si>
  <si>
    <t>预计充电剩余时间</t>
  </si>
  <si>
    <t>EV Speed Limited</t>
  </si>
  <si>
    <t>车速超限提示</t>
  </si>
  <si>
    <t>OBC Failure</t>
  </si>
  <si>
    <t>充电机故障</t>
  </si>
  <si>
    <t>Motor Overspeed</t>
  </si>
  <si>
    <t>电机超速</t>
  </si>
  <si>
    <t>OverRide</t>
  </si>
  <si>
    <t>Please Take Over</t>
  </si>
  <si>
    <t>Trailer Mode, RCW Limited</t>
  </si>
  <si>
    <t>拖车模式，侧后雷达功能受限</t>
  </si>
  <si>
    <t>Please Clear the Radar</t>
  </si>
  <si>
    <t>SLIF can not be used</t>
  </si>
  <si>
    <t>The Front Camera Limited</t>
  </si>
  <si>
    <t>Please Hand On</t>
  </si>
  <si>
    <t>The Front Radar is Dirty or Blindness</t>
  </si>
  <si>
    <t xml:space="preserve">CC System can not be actived,  vehicle speed not reach </t>
  </si>
  <si>
    <t>巡航系统无法激活
车速不满足</t>
  </si>
  <si>
    <t>CC System can not be actived, no leading vehicle</t>
  </si>
  <si>
    <t>巡航系统无法激活
前方无引导车</t>
  </si>
  <si>
    <t>CC System can not be actived,  gear not  D</t>
  </si>
  <si>
    <t>CC System can not be actived,Door not close</t>
  </si>
  <si>
    <t>巡航系统无法激活
四门两盖未关闭</t>
  </si>
  <si>
    <t>CC System can not be actived, seatbelt not tie</t>
  </si>
  <si>
    <t>巡航系统无法激活
安全带未系</t>
  </si>
  <si>
    <t>CC System can not be actived</t>
  </si>
  <si>
    <t>CC Cancelled</t>
  </si>
  <si>
    <t>Please Brake</t>
  </si>
  <si>
    <t>请制动</t>
  </si>
  <si>
    <t>Attendtion Safety Distance</t>
  </si>
  <si>
    <t xml:space="preserve">The Front Radar Limited </t>
  </si>
  <si>
    <t>TPMS Switch Off</t>
  </si>
  <si>
    <t>TPMS signal abnormal</t>
  </si>
  <si>
    <t>Tyre Pressure High</t>
  </si>
  <si>
    <t>Tyre  Pressure Fast Change</t>
  </si>
  <si>
    <t>Tyre Temperature High</t>
  </si>
  <si>
    <t>Tyre Pressure Low</t>
  </si>
  <si>
    <t xml:space="preserve">TPMS Sensor Not learning </t>
  </si>
  <si>
    <t>Position Lamp Failure</t>
  </si>
  <si>
    <t>Rear Fog Lamp Failure</t>
  </si>
  <si>
    <t>Reverse Lamp Failure</t>
  </si>
  <si>
    <t>Turn lamp Failure</t>
  </si>
  <si>
    <t>Low Beam lamp Failure</t>
  </si>
  <si>
    <t>Brake Lamp Failure</t>
  </si>
  <si>
    <t>Key Battery Low</t>
  </si>
  <si>
    <t>Press Clutch</t>
  </si>
  <si>
    <t>Follow me home</t>
  </si>
  <si>
    <t>Light On</t>
  </si>
  <si>
    <t>Engine Start Forbid</t>
  </si>
  <si>
    <t>Try IGN on and shift to P</t>
  </si>
  <si>
    <t>Shift to P/N</t>
  </si>
  <si>
    <t>PEPS Start Failure</t>
  </si>
  <si>
    <t>转向锁工作电压高</t>
  </si>
  <si>
    <t>转向锁工作电压低</t>
  </si>
  <si>
    <t>IGN1 Relay Failue</t>
  </si>
  <si>
    <t>Close Key to Starter Button</t>
  </si>
  <si>
    <t>IMMO Failure</t>
  </si>
  <si>
    <t>Key Not Found</t>
  </si>
  <si>
    <t>HDC OFF</t>
  </si>
  <si>
    <t>HDC Not active</t>
  </si>
  <si>
    <t>HDC Active</t>
  </si>
  <si>
    <t>HDC Failure</t>
  </si>
  <si>
    <t>HHC Failure</t>
  </si>
  <si>
    <t>HBB Failure</t>
  </si>
  <si>
    <t>HBB Abnormal</t>
  </si>
  <si>
    <t>Parking Brake Failure</t>
  </si>
  <si>
    <t>Please Tie Seatbelt and Close Door</t>
  </si>
  <si>
    <t>AutoHold Failure</t>
  </si>
  <si>
    <t>AutoHold Enable</t>
  </si>
  <si>
    <t>EPB Failure</t>
  </si>
  <si>
    <t>Please Tie Seatbelt</t>
  </si>
  <si>
    <t>Please Press Brake Pedal</t>
  </si>
  <si>
    <t>EPS Failure</t>
  </si>
  <si>
    <t xml:space="preserve">Press P Button on Still </t>
  </si>
  <si>
    <t>Press Brake and Unlock</t>
  </si>
  <si>
    <t>Press Unlock</t>
  </si>
  <si>
    <t>Press Brake</t>
  </si>
  <si>
    <t>Turn Knob to Right</t>
  </si>
  <si>
    <t>Please shfit to D</t>
  </si>
  <si>
    <t>Cannot Enter Sport Mode</t>
  </si>
  <si>
    <t>Cannot Enter ECO Mode</t>
  </si>
  <si>
    <t>Enter Sport Mode</t>
  </si>
  <si>
    <t>Enter ECO Mode</t>
  </si>
  <si>
    <t>Slow Down and Stop
and Contact Service</t>
  </si>
  <si>
    <t>Slow Down and Contact Service</t>
  </si>
  <si>
    <t>主动加速</t>
  </si>
  <si>
    <t>Cruise Switch Off</t>
  </si>
  <si>
    <t>Cruise Cancelled</t>
  </si>
  <si>
    <t>Cruise Switch On</t>
  </si>
  <si>
    <t>Cruise Control---km/h</t>
  </si>
  <si>
    <t>定速巡航 ---km/h</t>
  </si>
  <si>
    <t>Airbag Failure</t>
  </si>
  <si>
    <t>Engine Coolant
Temperature High</t>
  </si>
  <si>
    <t>Fuel Low</t>
  </si>
  <si>
    <t>Battery Voltage Low</t>
  </si>
  <si>
    <t>Can Not Activate Menu 
When Warning Exist</t>
  </si>
  <si>
    <t>Can Not Activate Menu 
When Running</t>
  </si>
  <si>
    <t>请注意休息</t>
  </si>
  <si>
    <t>Need to Maintain</t>
  </si>
  <si>
    <t>Over speed</t>
  </si>
  <si>
    <t>Oil pressure low</t>
  </si>
  <si>
    <t>Break Fluid Low</t>
  </si>
  <si>
    <t>ON</t>
  </si>
  <si>
    <t>EMS_Cruise</t>
  </si>
  <si>
    <t>IPK</t>
  </si>
  <si>
    <t>FRS</t>
  </si>
  <si>
    <t>ESC_AVH</t>
  </si>
  <si>
    <t>ESC_HDC</t>
  </si>
  <si>
    <t>ACU</t>
  </si>
  <si>
    <t>OFF</t>
  </si>
  <si>
    <t>FRS_AEB</t>
  </si>
  <si>
    <t>BCM</t>
  </si>
  <si>
    <t>ESCL</t>
  </si>
  <si>
    <t>ON/OFF</t>
  </si>
  <si>
    <t>PEPS</t>
  </si>
  <si>
    <t>PEPS||BCM</t>
  </si>
  <si>
    <t>ESC_EPB</t>
  </si>
  <si>
    <t>ACU|| ESC_EPB</t>
  </si>
  <si>
    <t>TPMS</t>
  </si>
  <si>
    <t>HW Pin11</t>
  </si>
  <si>
    <t>HW Pin14</t>
  </si>
  <si>
    <t>HW Pin32</t>
  </si>
  <si>
    <t>HW Pin13</t>
  </si>
  <si>
    <t>EMS</t>
  </si>
  <si>
    <t>ESC_HBB</t>
  </si>
  <si>
    <t>ESC_HHC</t>
  </si>
  <si>
    <t xml:space="preserve">     IPU</t>
  </si>
  <si>
    <t>OBC</t>
  </si>
  <si>
    <t>VCU</t>
  </si>
  <si>
    <t>BMSH</t>
  </si>
  <si>
    <t>PTG</t>
  </si>
  <si>
    <t>请按解锁键</t>
  </si>
  <si>
    <t>传感器未学习</t>
  </si>
  <si>
    <t>请立即保养车辆</t>
  </si>
  <si>
    <t>请将钥匙靠近杯托启动</t>
  </si>
  <si>
    <t>发动机禁止启动</t>
  </si>
  <si>
    <t>Warning15</t>
  </si>
  <si>
    <t>Warning16</t>
  </si>
  <si>
    <t>Warning17</t>
  </si>
  <si>
    <t>Warning18</t>
  </si>
  <si>
    <t>Warning19</t>
  </si>
  <si>
    <t>Warning26</t>
  </si>
  <si>
    <t>Warning99</t>
  </si>
  <si>
    <t>warning_icon_40</t>
  </si>
  <si>
    <t>warning_icon_8</t>
  </si>
  <si>
    <t>warning_icon_17</t>
  </si>
  <si>
    <t>warning_icon_36</t>
  </si>
  <si>
    <t>warning_icon_61</t>
  </si>
  <si>
    <t>warning_icon_38</t>
  </si>
  <si>
    <t>warning_icon_16</t>
  </si>
  <si>
    <t>warning_icon_4</t>
  </si>
  <si>
    <t>warning_icon_10</t>
  </si>
  <si>
    <t>warning_icon_20</t>
  </si>
  <si>
    <t>warning_icon_19</t>
  </si>
  <si>
    <t>warning_icon_34</t>
  </si>
  <si>
    <t>warning_icon_56</t>
  </si>
  <si>
    <t>warning_icon_55</t>
  </si>
  <si>
    <t>warning_icon_1</t>
  </si>
  <si>
    <t>warning_icon_9</t>
  </si>
  <si>
    <t>warning_icon_28</t>
  </si>
  <si>
    <t>warning_icon_29</t>
  </si>
  <si>
    <t>warning_icon_25</t>
  </si>
  <si>
    <t>warning_icon_51</t>
  </si>
  <si>
    <t>warning_icon_46</t>
  </si>
  <si>
    <t>warning_icon_3</t>
  </si>
  <si>
    <t>warning_icon_57</t>
  </si>
  <si>
    <t>warning_icon_39</t>
  </si>
  <si>
    <t>warning_icon_21</t>
  </si>
  <si>
    <t>warning_icon_35</t>
  </si>
  <si>
    <t>warning_icon_53</t>
  </si>
  <si>
    <t>warning_icon_54</t>
  </si>
  <si>
    <t>warning_icon_27</t>
  </si>
  <si>
    <t>warning_icon_60</t>
  </si>
  <si>
    <t>warning_icon_42</t>
  </si>
  <si>
    <t>warning_icon_26</t>
  </si>
  <si>
    <t>warning_icon_64</t>
  </si>
  <si>
    <t>warning_icon_11</t>
  </si>
  <si>
    <t>warning_icon_12</t>
  </si>
  <si>
    <t>warning_icon_7</t>
  </si>
  <si>
    <t>warning_icon_31</t>
  </si>
  <si>
    <t>warning_icon_70</t>
  </si>
  <si>
    <t>warning_icon_24</t>
  </si>
  <si>
    <t>warning_icon_43</t>
  </si>
  <si>
    <t>warning_icon_14</t>
  </si>
  <si>
    <t>warning_icon_50</t>
  </si>
  <si>
    <t>warning_icon_45</t>
  </si>
  <si>
    <t>warning_icon_18</t>
  </si>
  <si>
    <t>warning_icon_15</t>
  </si>
  <si>
    <t>warning_icon_37</t>
  </si>
  <si>
    <t>warning_icon_22</t>
  </si>
  <si>
    <t>warning_icon_69</t>
  </si>
  <si>
    <t>变速箱温度过高，请安全停车</t>
  </si>
  <si>
    <r>
      <t>变速箱温度过高，请等候</t>
    </r>
    <r>
      <rPr>
        <sz val="11"/>
        <color theme="1"/>
        <rFont val="宋体"/>
        <family val="3"/>
        <charset val="134"/>
      </rPr>
      <t>&gt;5</t>
    </r>
    <r>
      <rPr>
        <sz val="11"/>
        <color theme="1"/>
        <rFont val="SimSun"/>
        <charset val="134"/>
      </rPr>
      <t>分钟</t>
    </r>
  </si>
  <si>
    <t>变速箱温度过高，请等候&gt;5分钟</t>
  </si>
  <si>
    <t>warning_icon_30</t>
  </si>
  <si>
    <t>warning_icon_6</t>
  </si>
  <si>
    <t>DoorOpen2</t>
  </si>
  <si>
    <t>电机超速报警</t>
  </si>
  <si>
    <t>IsgOverSpeedWrn</t>
  </si>
  <si>
    <t>ChargerFailWrn</t>
  </si>
  <si>
    <t>EVOverSpeedWrn</t>
  </si>
  <si>
    <t>ChargeTimeRemindWrn</t>
  </si>
  <si>
    <t>EnterEVFailWrn</t>
  </si>
  <si>
    <t>PullOutChargerWrn</t>
  </si>
  <si>
    <t>优先级列表</t>
  </si>
  <si>
    <t>文字列表</t>
  </si>
  <si>
    <t>EPBRedBlink</t>
  </si>
  <si>
    <t>巡航系统无法激活_x000D_
安全带未系</t>
  </si>
  <si>
    <t>巡航系统无法激活_x000D_
四门两盖未关闭</t>
  </si>
  <si>
    <t>巡航系统无法激活_x000D_
前方无引导车</t>
  </si>
  <si>
    <t>巡航系统无法激活_x000D_
车速不满足</t>
  </si>
  <si>
    <t>Press P Button on Still</t>
  </si>
  <si>
    <t>Can Not Activate Menu_x000D_
When Warning Exist</t>
  </si>
  <si>
    <t>Can Not Activate Menu_x000D_
When Running</t>
  </si>
  <si>
    <t>CC System can not be\nactived,Door not close</t>
  </si>
  <si>
    <t>TPMS Sensor Not learning</t>
  </si>
  <si>
    <t>Engine Coolant_x000D_
Temperature High</t>
  </si>
  <si>
    <t>Slow Down and Stop_x000D_
and Contact Service</t>
  </si>
  <si>
    <t>The Front Radar Limited</t>
  </si>
  <si>
    <t>The Front Radar is Dirty or\nBlindness</t>
  </si>
  <si>
    <t>CC System can not be\nactived</t>
  </si>
  <si>
    <t>CC System can not be\nactived, seatbelt not tie</t>
  </si>
  <si>
    <t>CC System can not be\nactived, no leading vehicle</t>
  </si>
  <si>
    <t>Please Tie Seatbelt and\nClose Door</t>
  </si>
  <si>
    <t>Slow Down and Contact\nService</t>
  </si>
  <si>
    <t>Please Disconnect The\nCharger</t>
  </si>
  <si>
    <t>Cannot Enter ECO...</t>
  </si>
  <si>
    <t>Can Not Activate...</t>
  </si>
  <si>
    <t>CC System can not...</t>
  </si>
  <si>
    <t>Passenger Airbag...</t>
  </si>
  <si>
    <t>Close Key to...</t>
  </si>
  <si>
    <t>Try IGN on and...</t>
  </si>
  <si>
    <t>Position Lamp...</t>
  </si>
  <si>
    <t>Tyre Temperature...</t>
  </si>
  <si>
    <t>TPMS signal...</t>
  </si>
  <si>
    <t>Slow Down and...</t>
  </si>
  <si>
    <t>Parking Brake...</t>
  </si>
  <si>
    <t>Low Beam lamp...</t>
  </si>
  <si>
    <t>Reverse Lamp...</t>
  </si>
  <si>
    <t>Rear Fog Lamp...</t>
  </si>
  <si>
    <t>SLIF can not be...</t>
  </si>
  <si>
    <t>Please Disconnect...</t>
  </si>
  <si>
    <t>系统故障，剩余可以启动 %0 次</t>
  </si>
  <si>
    <t>还有 %0 km需保养</t>
  </si>
  <si>
    <t xml:space="preserve"> %0 km to maintain</t>
  </si>
  <si>
    <t>Wrn_MaintainRemindWrnExtra</t>
  </si>
  <si>
    <t>HDCGreenBlink</t>
  </si>
  <si>
    <t>HighCoolantTempLCDBlink</t>
  </si>
  <si>
    <t>Wrn_KeyCloserWrnCV</t>
  </si>
  <si>
    <t>请将钥匙放入备用位置</t>
  </si>
  <si>
    <t>Press Brake and...</t>
  </si>
  <si>
    <t>Press P Button on...</t>
  </si>
  <si>
    <t>System failure,...</t>
  </si>
  <si>
    <t>TPMS Sensor Not...</t>
  </si>
  <si>
    <t>The Front Radar...</t>
  </si>
  <si>
    <t>Attendtion Safety...</t>
  </si>
  <si>
    <t>The Front Camera...</t>
  </si>
  <si>
    <t>Please Clear the...</t>
  </si>
  <si>
    <t>Trailer Mode, RCW...</t>
  </si>
  <si>
    <t>Tip</t>
  </si>
  <si>
    <t>CC System can not be\nactived, gear not D</t>
  </si>
  <si>
    <t>CC System can not be\nactived, vehicle speed not\nreach</t>
  </si>
  <si>
    <t>Tyre Pressure Fast Change</t>
  </si>
  <si>
    <t>Engine Coolant...</t>
  </si>
  <si>
    <t>Wrn_DynamicValue</t>
  </si>
  <si>
    <t>%0</t>
  </si>
  <si>
    <t>还有xxxkm需保养</t>
  </si>
  <si>
    <t>XXX km to maintain</t>
  </si>
  <si>
    <t>Cannot Enter...</t>
  </si>
  <si>
    <t>Turn Knob to...</t>
  </si>
  <si>
    <t>Engine Start...</t>
  </si>
  <si>
    <t>PEPS Start...</t>
  </si>
  <si>
    <t>Please Press...</t>
  </si>
  <si>
    <t>Please Tie...</t>
  </si>
  <si>
    <t>Tyre  Pressure...</t>
  </si>
  <si>
    <t>Tyre Pressure...</t>
  </si>
  <si>
    <t>Contact Service...</t>
  </si>
  <si>
    <t>Battery Voltage...</t>
  </si>
  <si>
    <t>Brake Lamp...</t>
  </si>
  <si>
    <t>Step3: Generate text for warning list</t>
  </si>
  <si>
    <t>Step1: Combine warning 
name and strings</t>
  </si>
  <si>
    <t>Step2: Generate text for warning popup</t>
  </si>
  <si>
    <t>Information</t>
  </si>
  <si>
    <t>TextPopup</t>
  </si>
  <si>
    <t>TextWarningList</t>
  </si>
  <si>
    <t>Bitmap</t>
  </si>
  <si>
    <t>WarningLines</t>
  </si>
  <si>
    <t>Row Number in Sheet "WarningConfig"</t>
  </si>
  <si>
    <t>WarningObject</t>
  </si>
  <si>
    <t>(Notes: Configuration for WarningObject.xml. Please don't move or remove these data.)</t>
  </si>
  <si>
    <t>PropertyName</t>
  </si>
  <si>
    <t>ValueType</t>
  </si>
  <si>
    <t>IndexNameOfWarningConfig</t>
  </si>
  <si>
    <t>Constant</t>
  </si>
  <si>
    <t>Type</t>
  </si>
  <si>
    <t>TextWList</t>
  </si>
  <si>
    <t>Resource</t>
  </si>
  <si>
    <t>TextWPopup</t>
  </si>
  <si>
    <t>ActiveCondition</t>
  </si>
  <si>
    <t>DeactiveCondition</t>
  </si>
  <si>
    <t>Value0</t>
  </si>
  <si>
    <t>Value1</t>
  </si>
  <si>
    <t>Value2</t>
  </si>
  <si>
    <t>Value3</t>
  </si>
  <si>
    <t>Value4</t>
  </si>
  <si>
    <t>Value5</t>
  </si>
  <si>
    <t>Value6</t>
  </si>
  <si>
    <t>Value7</t>
  </si>
  <si>
    <t>Value8</t>
  </si>
  <si>
    <t>Value9</t>
  </si>
  <si>
    <t>Value10</t>
  </si>
  <si>
    <t>Warning</t>
  </si>
  <si>
    <t>DoorOpenWarning</t>
  </si>
  <si>
    <t>WSPopup;WSList</t>
  </si>
  <si>
    <t>Warning;Warning</t>
  </si>
  <si>
    <t>DoorOpenWarning;Warning</t>
  </si>
  <si>
    <t>TS_C_MaxTime;TS_WList_Padding</t>
  </si>
  <si>
    <t>ABS故障指示灯</t>
  </si>
  <si>
    <t>EBD电子制动力分配故障指示灯</t>
  </si>
  <si>
    <t>EEH_boGetEPB()</t>
  </si>
  <si>
    <t>True == EEH_boGetESC()</t>
  </si>
  <si>
    <t>0x02 == EEH_biGetTransmissionType() || 0x03 == EEH_biGetTransmissionType() || 0x04 == EEH_biGetTransmissionType() || 0x05 == EEH_biGetTransmissionType() || 0x06 == EEH_biGetTransmissionType()</t>
  </si>
  <si>
    <t>False == EEH_boGetVCU()</t>
  </si>
  <si>
    <t>True == EEH_boGetTPMS()</t>
  </si>
  <si>
    <t>左转向灯</t>
  </si>
  <si>
    <t>右转向灯</t>
  </si>
  <si>
    <t>远光灯</t>
  </si>
  <si>
    <t>前雾指示灯</t>
  </si>
  <si>
    <t>后雾指示灯</t>
  </si>
  <si>
    <t>白昼灯</t>
  </si>
  <si>
    <t>True == EEH_boGetEPB()</t>
  </si>
  <si>
    <t>True == EEH_boGetEPS()</t>
  </si>
  <si>
    <t>门开报警</t>
  </si>
  <si>
    <t>True == EEH_boGetVCU()</t>
  </si>
  <si>
    <t>0x02 == EEH_biGetHDC()</t>
  </si>
  <si>
    <t>True == CAN_boInESC_HDC_ErrorStatus()</t>
  </si>
  <si>
    <t>True == CAN_boInBCM_LowBeamSts()</t>
  </si>
  <si>
    <t>0x03 == CAN_u8InFCS_IHBC_Status()||0x04 == CAN_u8InFCS_IHBC_Status()</t>
  </si>
  <si>
    <t>0x02 == CAN_u8InFCS_IHBC_Status()</t>
  </si>
  <si>
    <t>0x01 == EEH_biGetAEB()</t>
  </si>
  <si>
    <t>0 == CAN_u8InFRS_AEB_Status()</t>
  </si>
  <si>
    <t>0x06 == CAN_u8InFCS_ALAD_Status()||0x07 == CAN_u8InFCS_ALAD_Status()</t>
  </si>
  <si>
    <t xml:space="preserve"> </t>
  </si>
  <si>
    <t>True == EEH_boGetVCU()||(0x02 == EEH_biGetTransmissionType() || 0x03 == EEH_biGetTransmissionType() || 0x04 == EEH_biGetTransmissionType() || 0x05 == EEH_biGetTransmissionType() || 0x06 == EEH_biGetTransmissionType())</t>
  </si>
  <si>
    <r>
      <t>PHEV</t>
    </r>
    <r>
      <rPr>
        <sz val="11"/>
        <color indexed="8"/>
        <rFont val="Times New Roman"/>
        <family val="1"/>
      </rPr>
      <t>驾驶模式指示灯(EV)</t>
    </r>
  </si>
  <si>
    <t>0x02 == CAN_u8InVCU_ePTModeSelect()</t>
  </si>
  <si>
    <r>
      <t>PHEV</t>
    </r>
    <r>
      <rPr>
        <sz val="11"/>
        <color indexed="8"/>
        <rFont val="Times New Roman"/>
        <family val="1"/>
      </rPr>
      <t>驾驶模式指示灯(HEV)</t>
    </r>
  </si>
  <si>
    <t>0x01 == CAN_u8InVCU_ePTModeSelect()</t>
  </si>
  <si>
    <r>
      <t>PHEV</t>
    </r>
    <r>
      <rPr>
        <sz val="11"/>
        <color indexed="8"/>
        <rFont val="Times New Roman"/>
        <family val="1"/>
      </rPr>
      <t>驾驶模式指示灯(SAVE)</t>
    </r>
  </si>
  <si>
    <t>0x03 == CAN_u8InVCU_ePTModeSelect()</t>
  </si>
  <si>
    <t>True == CAN_boInVCU_ePTReady()</t>
  </si>
  <si>
    <t>True == EEH_boGetVCU() || True == EEH_boGetBSG()</t>
  </si>
  <si>
    <t>True == CAN_boInEMS_HVRBS_Error()||True == CAN_boInVCU_ePTFault()</t>
  </si>
  <si>
    <t>0x01 == CANI_u8InBMSH_BattFaultLampState()</t>
  </si>
  <si>
    <t>True == CAN_boInVCU_TurtleLampOn()</t>
  </si>
  <si>
    <t>ChargeCClineLED</t>
  </si>
  <si>
    <t>True == CAN_boInOBC_OnBdChrgrCCline()</t>
  </si>
  <si>
    <t>True == CAN_boInAVAS_AVASDisabledSts()</t>
  </si>
  <si>
    <t>AUDM_nenLCDGong</t>
  </si>
  <si>
    <t>True == EEH_boGetESCL()</t>
  </si>
  <si>
    <t>(True == CAN_boInESCL_SystemWarning())</t>
  </si>
  <si>
    <t>True == CAN_boInESCL_Unlock_Failure_Warning()</t>
  </si>
  <si>
    <t>True == CAN_boInESCL_Lock_Failure_Warning()</t>
  </si>
  <si>
    <t>True == EEH_boGetPEPS()</t>
  </si>
  <si>
    <t>True == CANI_boInPEPS_Warning_Auth_ESCL_Fail()</t>
  </si>
  <si>
    <t>0x01 == CAN_u8InESCL_BatteryVoltage_Warning()</t>
  </si>
  <si>
    <t>0x02 == CAN_u8InESCL_BatteryVoltage_Warning()</t>
  </si>
  <si>
    <t>AUDM_nenKeyNotFound</t>
  </si>
  <si>
    <t>True == CANI_boInPEPS_Warning_No_key_found()</t>
  </si>
  <si>
    <t>True == CANI_boInPEPS_Indication_UID_Closer()</t>
  </si>
  <si>
    <t>True == CANI_boInPEPS_EngForbidWarn()</t>
  </si>
  <si>
    <t>False == EEH_boGetVCU()&amp;&amp;(0x02 == EEH_biGetTransmissionType() || 0x03 == EEH_biGetTransmissionType() || 0x04 == EEH_biGetTransmissionType() || 0x05 == EEH_biGetTransmissionType() || 0x06 == EEH_biGetTransmissionType())</t>
  </si>
  <si>
    <t>False == EEH_boGetVCU()&amp;&amp;(!(0x02 == EEH_biGetTransmissionType() || 0x03 == EEH_biGetTransmissionType() || 0x04 == EEH_biGetTransmissionType() || 0x05 == EEH_biGetTransmissionType() || 0x06 == EEH_biGetTransmissionType()))</t>
  </si>
  <si>
    <t>True == EEH_boGetPEPS()&amp;&amp;(0x02 == EEH_biGetTransmissionType() || 0x03 == EEH_biGetTransmissionType() || 0x04 == EEH_biGetTransmissionType() || 0x05 == EEH_biGetTransmissionType() || 0x06 == EEH_biGetTransmissionType())</t>
  </si>
  <si>
    <t>True == CANI_boInPEPS_Indication_shift_to_PN()</t>
  </si>
  <si>
    <t>True == CANI_boInPEPS_Indication_shift_to_Park()</t>
  </si>
  <si>
    <t>True == CAN_boInESC_EPB_Disp_WithoutBrake()</t>
  </si>
  <si>
    <t>True == CAN_boInESC_AVH_Disp_WithoutSeatbelt()</t>
  </si>
  <si>
    <t>True == CAN_boInESC_EPB_Disp_WithoutSeatbelt()</t>
  </si>
  <si>
    <t>(True == CAN_boInTCU_WarningMsgGearboxOvertemp())&amp;&amp;(0x02 == CAN_u8InTCU_OvertempLevel())</t>
  </si>
  <si>
    <t>(True == CAN_boInTCU_WarningMsgGearboxOvertemp())&amp;&amp;(0x01 == CAN_u8InTCU_OvertempLevel())</t>
  </si>
  <si>
    <t>False == EEH_boGetVCU()&amp;&amp;(0x04 == EEH_biGetTransmissionType() || 0x05 == EEH_biGetTransmissionType())</t>
  </si>
  <si>
    <t>0x01 == CAN_u8InTCU_DriverRemind()</t>
  </si>
  <si>
    <t>0x02 == CAN_u8InTCU_DriverRemind()</t>
  </si>
  <si>
    <t>0x03 == CAN_u8InTCU_DriverRemind()</t>
  </si>
  <si>
    <t>0x04 == CAN_u8InTCU_DriverRemind()</t>
  </si>
  <si>
    <t>0x05 == CAN_u8InTCU_DriverRemind()</t>
  </si>
  <si>
    <t>0x02 == CAN_u8InESC_HDC_Active()</t>
  </si>
  <si>
    <t>0x01 == CAN_u8InESC_HDC_Active()</t>
  </si>
  <si>
    <t>0x00 == CAN_u8InESC_HDC_Active()</t>
  </si>
  <si>
    <t>WRN_nenOn==WRN_enGetActiveWarning(WRN_nenLCD_ESPOff)</t>
  </si>
  <si>
    <t>False == CAN_boInACU_PassengerAirbagStatus_Reserved()</t>
  </si>
  <si>
    <t>WRN_nenOn== WRN_enGetActiveWarning(WRN_nenLED_LowFuel)</t>
  </si>
  <si>
    <t>AUDM_nenLightsOn</t>
  </si>
  <si>
    <t>True == CANI_boInPEPS_IGN1FailureWarning()</t>
  </si>
  <si>
    <t>True == CANI_boInPEPS_SSB_Failure_warning()</t>
  </si>
  <si>
    <t>(False == CAN_boInTPMS_FL_Learning_Sts())||(False == CAN_boInTPMS_FR_Learning_Sts())||(False == CAN_boInTPMS_RL_Learning_Sts())||(False == CAN_boInTPMS_RR_Learning_Sts())</t>
  </si>
  <si>
    <t>AUDM_nenTpmsPres</t>
  </si>
  <si>
    <t>(0x02 == CANI_u8InTPMS_FLTyreWarn())||(0x02 == CANI_u8InTPMS_FRTyreWarn())||(0x02 == CANI_u8InTPMS_RLTyreWarn())||(0x02 == CANI_u8InTPMS_RRTyreWarn())</t>
  </si>
  <si>
    <t>AUDM_nenTpmsTemp</t>
  </si>
  <si>
    <t>(True == CANI_boInTPMS_FLTyre_Temperature())||(True == CANI_boInTPMS_FRTyre_Temperature())||(True == CANI_boInTPMS_RLTyre_Temperature())||(True == CANI_boInTPMS_RRTyre_Temperature())</t>
  </si>
  <si>
    <t>AUDM_nenTpmsLeak</t>
  </si>
  <si>
    <t>(True == CANI_boInTPMS_FLTyre_Fast_Leak())||(True == CANI_boInTPMS_FRTyre_Fast_Leak())||(True == CANI_boInTPMS_RLTyre_Fast_Leak())||(True == CANI_boInTPMS_RRTyre_Fast_Leak())</t>
  </si>
  <si>
    <t>(0x03 == CANI_u8InTPMS_FLTyreWarn())||(0x03 == CANI_u8InTPMS_FRTyreWarn())||(0x03 == CANI_u8InTPMS_RLTyreWarn())||(0x03 == CANI_u8InTPMS_RRTyreWarn())</t>
  </si>
  <si>
    <t>(True == CANI_boInTPMS_FLTyre_Sensor_Failure())||(True == CANI_boInTPMS_FRTyre_Sensor_Failure())||(True == CANI_boInTPMS_RLTyre_Sensor_Failure())||(True == CANI_boInTPMS_RRTyre_Sensor_Failure())</t>
  </si>
  <si>
    <t>(True == CANI_boTPMS_FLTyreWarnTo())||(True == CANI_boTPMS_FRTyreWarnTo())||(True == CANI_boTPMS_RLTyreWarnTo())||(True == CANI_boTPMS_RRTyreWarnTo())</t>
  </si>
  <si>
    <t>(True == CAN_boInTPMS_W_SensorVoltageFL())||(True == CAN_boInTPMS_W_SensorVoltageFR())||(True == CAN_boInTPMS_W_SensorVoltageRL())||(True == CAN_boInTPMS_W_SensorVoltageRR())</t>
  </si>
  <si>
    <t>True == CAN_boInTPMS_Mode()</t>
  </si>
  <si>
    <t>True == CAN_boInTCU_ParkFailureReport()</t>
  </si>
  <si>
    <t>(True == CAN_boInTCU_MILReq())&amp;&amp;(True == CAN_boInEMS_EngineMILTelltale())</t>
  </si>
  <si>
    <t>WRN_nenOn== WRN_enGetActiveWarning(WRN_nenLED_BrakeFluidLow)</t>
  </si>
  <si>
    <t>AUDM_nenOilPreLow</t>
  </si>
  <si>
    <t>AUDM_nenOverSpeed</t>
  </si>
  <si>
    <t>AUDM_nenHandBrake</t>
  </si>
  <si>
    <t>False == EEH_boGetEPB()</t>
  </si>
  <si>
    <t>(True == WRN__boVehicleMove())&amp;&amp;(WRN_nenOn== WRN_enGetActiveWarning(WRN_nenLCD_EPBRed))</t>
  </si>
  <si>
    <t>(WRN_nen1Hz== WRN_enGetActiveWarning(WRN_nenLED_HighCoolantTemp))||(WRN_nen1Hz== WRN_enGetActiveWarning(WRN_nenLCD_HighCoolantTempLCD))</t>
  </si>
  <si>
    <t>(WRN_nenOn== WRN_enGetActiveWarning(WRN_nenLED_DriverAirBag))||(WRN_nen1Hz== WRN_enGetActiveWarning(WRN_nenLED_DriverAirBag))</t>
  </si>
  <si>
    <t>WRN_nenOn== WRN_enGetActiveWarning(WRN_nenLCD_TransmissionYellow)</t>
  </si>
  <si>
    <t>WRN_nenOn== WRN_enGetActiveWarning(WRN_nenLCD_TransmissionRed)</t>
  </si>
  <si>
    <t>WRN_nenOn== WRN_enGetActiveWarning(WRN_nenLCD_EPSFailure)</t>
  </si>
  <si>
    <t>AUDM_nenEPBError</t>
  </si>
  <si>
    <t>WRN_nenOn== WRN_enGetActiveWarning(WRN_nenLCD_EPBError)</t>
  </si>
  <si>
    <t>WRN_nenOn== WRN_enGetActiveWarning(WRN_nenLCD_AVHStatusRed)</t>
  </si>
  <si>
    <t>True == CAN_boInESC_ParkingBrakeFail()</t>
  </si>
  <si>
    <t>WRN_nenOn== WRN_enGetActiveWarning(WRN_nenLCD_HDCYellow)</t>
  </si>
  <si>
    <t>True == CAN_boInBCM_FollowMeHomeActive()</t>
  </si>
  <si>
    <t>True == CAN_boInBCM_BrakeLampsFailure()</t>
  </si>
  <si>
    <t>True == CAN_boInBCM_PositionLampsFailure()</t>
  </si>
  <si>
    <t>True == CAN_boInBCM_LowBeamLampsFailure()</t>
  </si>
  <si>
    <t>True == CAN_boInBCM_DI_LampsFailure()</t>
  </si>
  <si>
    <t>True == CAN_boInBCM_ReverseLampsFailure()</t>
  </si>
  <si>
    <t>True == CAN_boInBCM_RrFogLampsFailure()</t>
  </si>
  <si>
    <t>WRN_nenOn== WRN_enGetActiveWarning(WRN_nenLCD_BSDYellow)</t>
  </si>
  <si>
    <t>WRN_nenOn== WRN_enGetActiveWarning(WRN_nenLCD_BSDRed)</t>
  </si>
  <si>
    <t>0x01 == CAN_u8InVCU_EVSpeedlimitedInf()</t>
  </si>
  <si>
    <t>(True == EEH_boGetVCU())&amp;&amp;(True == EEH_boGetPEPS())</t>
  </si>
  <si>
    <t>True == CANI_boInPEPS_ChargerConnectStarter_Warnning()</t>
  </si>
  <si>
    <t>前方雷达污浊或失明</t>
  </si>
  <si>
    <t>0x02 == EEH_biGetCruise()</t>
  </si>
  <si>
    <t>WRN__boVCUEnable?(CAN_boInVCU_CruiseSwitchSts()&amp;&amp;CAN_u8InVCU_CruiseControlSts()):(CAN_boInEMS_CruiseSwitchSts()&amp;&amp;CAN_u8InEMS_CruiseControlSts())</t>
  </si>
  <si>
    <t>AEBPleaseBrakeWrn</t>
  </si>
  <si>
    <t xml:space="preserve">(0x02 == CAN_u8InFRS_AEB_Warning()) || (0x03 == CAN_u8InFRS_AEB_Warning()) ||(0x04 == CAN_u8InFRS_AEB_Warning()) ||(0x05 == CAN_u8InFRS_AEB_Warning()) || (0x06 == CAN_u8InFRS_AEB_Warning()) ||(0x07 == CAN_u8InFRS_AEB_Warning()) </t>
  </si>
  <si>
    <t>EMS无法进行模式切换</t>
  </si>
  <si>
    <t>ChangeModeFailEMSWrn</t>
  </si>
  <si>
    <t>0x01 == CAN_u8InBCM_DM_ChangeModeFailureControllor()</t>
  </si>
  <si>
    <t>TCU无法进行模式切换</t>
  </si>
  <si>
    <t>ChangeModeFailTCUWrn</t>
  </si>
  <si>
    <t>0x02 == CAN_u8InBCM_DM_ChangeModeFailureControllor()</t>
  </si>
  <si>
    <t>ESC无法进行模式切换</t>
  </si>
  <si>
    <t>ChangeModeFailESCWrn</t>
  </si>
  <si>
    <t>0x03 == CAN_u8InBCM_DM_ChangeModeFailureControllor()</t>
  </si>
  <si>
    <t>EPS无法进行模式切换</t>
  </si>
  <si>
    <t>ChangeModeFailEPSWrn</t>
  </si>
  <si>
    <t>0x04 == CAN_u8InBCM_DM_ChangeModeFailureControllor()</t>
  </si>
  <si>
    <t>(0x01 == CAN_u8InESC_HBB_Sts())||(0x02 == CAN_u8InESC_HBB_Sts())</t>
  </si>
  <si>
    <t>0x03 == CAN_u8InESC_HBB_Sts()</t>
  </si>
  <si>
    <t xml:space="preserve">0x02 == CAN_u8InFRS_FRS_Status()|| 0x03 == CAN_u8InFRS_FRS_Status() </t>
  </si>
  <si>
    <t>KeepSafeDisWrn</t>
  </si>
  <si>
    <t>0x01 == CAN_u8InFRS_AEB_Warning()</t>
  </si>
  <si>
    <t>0x0E == CAN_u8InFRS_ALOD_Info() || 0x01 == CAN_u8InFRS_FRS_Status()</t>
  </si>
  <si>
    <t>0x02 == CAN_u8InFCS_ALAD_Warning()</t>
  </si>
  <si>
    <t>FrontCameraLimitWrn</t>
  </si>
  <si>
    <t xml:space="preserve">0x02 == CAN_u8InFCS_FCS_Status()|| 0x03 == CAN_u8InFCS_FCS_Status() </t>
  </si>
  <si>
    <t>PleaseTakeOverWrn</t>
  </si>
  <si>
    <t>0x02 == CAN_u8InFRS_ALOD_Warning()</t>
  </si>
  <si>
    <t>SpeedUpActiveWrn</t>
  </si>
  <si>
    <t>PTGFaultWrn</t>
  </si>
  <si>
    <t>True == EEH_boGetPTG()</t>
  </si>
  <si>
    <t>True == CAN_boInPTG_SystemFault()</t>
  </si>
  <si>
    <t>TPMS Sensor Failure</t>
  </si>
  <si>
    <t>TPMS Sensor...</t>
  </si>
  <si>
    <t>SoundName</t>
  </si>
  <si>
    <t>SoundID</t>
  </si>
  <si>
    <t>AUDM_nenDoorOpen</t>
  </si>
  <si>
    <t>AUDM_nenAEB</t>
  </si>
  <si>
    <t>AUDM_nenACC</t>
  </si>
  <si>
    <t>AUDM_nenSeatBelt_H</t>
  </si>
  <si>
    <t>AUDM_nenSeatBelt_M</t>
  </si>
  <si>
    <t>AUDM_nenSeatBelt_L</t>
  </si>
  <si>
    <t>AUDM_nenBSD</t>
  </si>
  <si>
    <t>AUDM_nenKeyInReminder</t>
  </si>
  <si>
    <t>AUDM_nenTick</t>
  </si>
  <si>
    <t>AUDM_nenTock</t>
  </si>
  <si>
    <t>AUDM_nenDoorOpenConti</t>
  </si>
  <si>
    <t>SoundId</t>
  </si>
  <si>
    <t>ESPWarningBlink</t>
  </si>
  <si>
    <t>完全充电至 %0 : %1</t>
  </si>
  <si>
    <t>Complete Charge at %0 : %1</t>
  </si>
  <si>
    <t>(0 == CAN_boInBCM_PositionLightSts())&amp;&amp;(1 == CAN_boInBCM_DayRunningLightSts())</t>
  </si>
  <si>
    <t>(0x02 == CAN_u8InFCS_ALAD_Type()||0x03 == CAN_u8InFCS_ALAD_Type()||0x04 == CAN_u8InFCS_ALAD_Type())&amp;&amp;(0x01 == CAN_u8InFCS_ALAD_Status()||0x02 == CAN_u8InFCS_ALAD_Status()||0x03 == CAN_u8InFCS_ALAD_Status())</t>
  </si>
  <si>
    <t>0x01 == CAN_u8InBCM_DM_TargetModeReq()</t>
  </si>
  <si>
    <t>0x02 == CAN_u8InBCM_DM_TargetModeReq()</t>
  </si>
  <si>
    <t>DCT操作：变速箱自学习，请踩刹车</t>
  </si>
  <si>
    <t>SelfLearningBrakeWrn</t>
  </si>
  <si>
    <t>0x06 == CAN_u8InTCU_DriverRemind()</t>
  </si>
  <si>
    <t>DCT操作：请挂入P档防止溜车</t>
  </si>
  <si>
    <t>ShiftPToPrevent</t>
  </si>
  <si>
    <t>0x07 == CAN_u8InTCU_DriverRemind()</t>
  </si>
  <si>
    <t>PTGAntipinchWrn</t>
  </si>
  <si>
    <t>True == CAN_boInPTG_PinchEvent()</t>
  </si>
  <si>
    <t>变速箱自学习，请踩刹车</t>
  </si>
  <si>
    <t>Reference Search and Press brake</t>
  </si>
  <si>
    <t>Press P button to prevent slide</t>
  </si>
  <si>
    <t>Press P button to prevent\nslide</t>
  </si>
  <si>
    <t>完全充电至...</t>
  </si>
  <si>
    <t>Gearbox Overheat, Please stop</t>
  </si>
  <si>
    <t>Gearbox Overheat, Please wait&gt;5 min</t>
  </si>
  <si>
    <t>Gearbox Overheat, Please\nstop</t>
  </si>
  <si>
    <t>Gearbox Overheat, Please\nwait&gt;5 min</t>
  </si>
  <si>
    <t>EMS cannot change driver mode</t>
  </si>
  <si>
    <t>TCU cannot change driver mode</t>
  </si>
  <si>
    <t>ESC cannot change driver mode</t>
  </si>
  <si>
    <t>EPS cannot change driver mode</t>
  </si>
  <si>
    <t>EMS cannot change...</t>
  </si>
  <si>
    <t>TCU cannot change...</t>
  </si>
  <si>
    <t>ESC cannot change...</t>
  </si>
  <si>
    <t>EPS cannot change...</t>
  </si>
  <si>
    <t>Reference Search...</t>
  </si>
  <si>
    <t>Press P button to...</t>
  </si>
  <si>
    <t>EPS条件不满足，模式切换失败</t>
  </si>
  <si>
    <t>EPS inhibit, mode change failure</t>
  </si>
  <si>
    <t>ESPModeSwitchFail</t>
  </si>
  <si>
    <t>PTG system failure</t>
  </si>
  <si>
    <t>PTG antipinch</t>
  </si>
  <si>
    <t>前方摄像头污浊或失明</t>
  </si>
  <si>
    <t>The Front Camera is Dirty or Blindness</t>
  </si>
  <si>
    <t>FrontCameraBlindWrn</t>
  </si>
  <si>
    <t>The Front Camera is Dirty\nor Blindness</t>
  </si>
  <si>
    <t>ESC Switch Off</t>
  </si>
  <si>
    <t>Please Note The Rest</t>
  </si>
  <si>
    <t>Parking Brake Not Release</t>
  </si>
  <si>
    <t>Park Failure</t>
  </si>
  <si>
    <t>Contact Service to check Transmission</t>
  </si>
  <si>
    <t>Steering Column Lock Failure</t>
  </si>
  <si>
    <t>Steering Column Stuck,Turn Steering Wheel</t>
  </si>
  <si>
    <t>Steering Column Voltage Low</t>
  </si>
  <si>
    <t>Steering Column Voltage High</t>
  </si>
  <si>
    <t>Steering Column Authentication Failure</t>
  </si>
  <si>
    <t>TPMS Sensor Battery Low</t>
  </si>
  <si>
    <t>EMS无法进行模式切...</t>
  </si>
  <si>
    <t>TCU无法进行模式切...</t>
  </si>
  <si>
    <t>ESC无法进行模式切...</t>
  </si>
  <si>
    <t>EPS无法进行模式切...</t>
  </si>
  <si>
    <t>变速箱自学习，请踩...</t>
  </si>
  <si>
    <t>存在报警菜单不能激...</t>
  </si>
  <si>
    <t>行驶过程中菜单不能...</t>
  </si>
  <si>
    <t>巡航系统无法激活 ...</t>
  </si>
  <si>
    <t>巡航系统无法激活 ...</t>
  </si>
  <si>
    <t>EPS条件不满足，模...</t>
  </si>
  <si>
    <t>转向锁卡滞，请转动...</t>
  </si>
  <si>
    <t>请将钥匙靠近杯托启...</t>
  </si>
  <si>
    <t>请重新上电，挂入P...</t>
  </si>
  <si>
    <t>系统故障，剩余可以...</t>
  </si>
  <si>
    <t>IGN1继电器故障，需...</t>
  </si>
  <si>
    <t>请系上安全带并关闭...</t>
  </si>
  <si>
    <t>变速箱温度过高，请...</t>
  </si>
  <si>
    <t>联系售后服务检查变...</t>
  </si>
  <si>
    <t>车速过高，请安全驾...</t>
  </si>
  <si>
    <t>减速停车并联系售后...</t>
  </si>
  <si>
    <t>液压制动助力辅助工...</t>
  </si>
  <si>
    <t>液压制动助力辅助失...</t>
  </si>
  <si>
    <t>前方摄像头污浊或失...</t>
  </si>
  <si>
    <t>拖车模式，侧后雷达...</t>
  </si>
  <si>
    <t>Please Note The...</t>
  </si>
  <si>
    <t>EPS inhibit, mode...</t>
  </si>
  <si>
    <t>Steering Column...</t>
  </si>
  <si>
    <t>Gearbox Overheat,...</t>
  </si>
  <si>
    <t>Parking Brake Not...</t>
  </si>
  <si>
    <t>Complete Charge...</t>
  </si>
  <si>
    <t>PTG system...</t>
  </si>
  <si>
    <t>EMS cannot change driver\nmode</t>
  </si>
  <si>
    <t>TCU cannot change driver\nmode</t>
  </si>
  <si>
    <t>ESC cannot change driver\nmode</t>
  </si>
  <si>
    <t>EPS cannot change driver\nmode</t>
  </si>
  <si>
    <t>Reference Search and Press\nbrake</t>
  </si>
  <si>
    <t>EPS inhibit, mode change\nfailure</t>
  </si>
  <si>
    <t>Steering Column Stuck,Turn\nSteering Wheel</t>
  </si>
  <si>
    <t>Steering Column Lock\nFailure</t>
  </si>
  <si>
    <t>Steering Column\nAuthentication Failure</t>
  </si>
  <si>
    <t>Steering Column Voltage\nHigh</t>
  </si>
  <si>
    <t>Contact Service to check\nTransmission</t>
  </si>
  <si>
    <t>System failure, engine\nstart remain %0 times</t>
  </si>
  <si>
    <t>请挂D挡</t>
  </si>
  <si>
    <t>请静止时再入P挡</t>
  </si>
  <si>
    <t>请挂入P挡防止溜车</t>
  </si>
  <si>
    <t>巡航系统无法激活
挡位不在D挡</t>
  </si>
  <si>
    <t>请挂入P挡或N挡启动</t>
  </si>
  <si>
    <t>巡航系统无法激活_x000D_
挡位不在D挡</t>
  </si>
  <si>
    <t>还有 %0 miles需保养</t>
  </si>
  <si>
    <t xml:space="preserve"> %0 miles to maintain</t>
  </si>
  <si>
    <t>Низкий уровень жидкости бака торможения</t>
  </si>
  <si>
    <t>سطح مایع ترمز بسیار پایین است</t>
  </si>
  <si>
    <t>مستوى زيت الفرامل منخفض جدا</t>
  </si>
  <si>
    <t>El nivel del líquido de freno es demasiado bajo</t>
  </si>
  <si>
    <t>Перепад давления масла</t>
  </si>
  <si>
    <t>فشار روغن موتور بسیار پایین است</t>
  </si>
  <si>
    <t>ضغط الزيت منخفض جدا</t>
  </si>
  <si>
    <t>La presión de aceite de motor es demasiado baja</t>
  </si>
  <si>
    <t>Внимание! Превышение скорости движения!</t>
  </si>
  <si>
    <t>سرعت بیش از حد مجاز</t>
  </si>
  <si>
    <t>سرعة القيادة مرتفعة جدا، يرجى القيادة الأمنة</t>
  </si>
  <si>
    <t>La velocidad es demasiado alta, por favor, conduzca con seguridad</t>
  </si>
  <si>
    <t>Проводите своевременно ТО</t>
  </si>
  <si>
    <t>نگهداری فوری خودرو ضروری است</t>
  </si>
  <si>
    <t>يرجى صيانة المركبة فورا</t>
  </si>
  <si>
    <t>Por favor, inmediatamente haga el mantenimiento para el vehículo</t>
  </si>
  <si>
    <t>До следующего ТО XXXKM</t>
  </si>
  <si>
    <t>تا پیمایش     کیلومتر دیگر به نگهداری خودرو بپردازید</t>
  </si>
  <si>
    <t>هناك xxx كم قبل الصيانة</t>
  </si>
  <si>
    <t>Todavía necesita el mantenimiento de xxxkm</t>
  </si>
  <si>
    <t>Отдыхайте!</t>
  </si>
  <si>
    <t>استراحت کنید</t>
  </si>
  <si>
    <t>يرجى الانتباه إلى الراحة</t>
  </si>
  <si>
    <t>Por favor, tenga en cuenta descansar</t>
  </si>
  <si>
    <t>Запрет активации меню в движении</t>
  </si>
  <si>
    <t>منو در هنگام حرکت خودرو فعال نمی شود</t>
  </si>
  <si>
    <t>لا يمكن تفعيل القائمة أثناء عملية القيادة</t>
  </si>
  <si>
    <t>El menú no puede ser activado durante la conducción</t>
  </si>
  <si>
    <t>Наличие проблемы активации меню сигнализации</t>
  </si>
  <si>
    <t>هشدار موجود است. منو فعال نمی شود.</t>
  </si>
  <si>
    <t>يوجد قائمة الإنذار التي لا يمكن تفعيلها</t>
  </si>
  <si>
    <t>El menú no puede ser activado por la presencia de alarma</t>
  </si>
  <si>
    <t>Недонапряжение АК</t>
  </si>
  <si>
    <t>ولتاژ باتری بسیار پایین</t>
  </si>
  <si>
    <t>الجهد الكهربائي للبطارية منخفض جدا</t>
  </si>
  <si>
    <t>La tensión de la batería es demasiado baja</t>
  </si>
  <si>
    <t>Заправляйте топливом</t>
  </si>
  <si>
    <t>سوخت کم است</t>
  </si>
  <si>
    <t>يرجي إضافة الوقود</t>
  </si>
  <si>
    <t>Por favor rellene el combustible</t>
  </si>
  <si>
    <t>Стояночный тормоз не выключен</t>
  </si>
  <si>
    <t>ترمز دستی رها نشده است</t>
  </si>
  <si>
    <t>لم يرفع فرامل اليد</t>
  </si>
  <si>
    <t>El freno de estacionamiento no se levanta</t>
  </si>
  <si>
    <t>Перегрев ОЖ двигателя</t>
  </si>
  <si>
    <t>حرارت آب موتور بسیار بالا است</t>
  </si>
  <si>
    <t>درجة حرارة مياه المحرك مرتفعة جدا</t>
  </si>
  <si>
    <t>La temperatura del agua de motor es demasiado alta</t>
  </si>
  <si>
    <t>Неисправность подушек безопасности</t>
  </si>
  <si>
    <t>نقص کیسه هوا</t>
  </si>
  <si>
    <t>خطأ الوسادة الهوائية</t>
  </si>
  <si>
    <t>Avería de bolsa de aire</t>
  </si>
  <si>
    <t>Отключена ESC</t>
  </si>
  <si>
    <t>سیستم ESC بسته است</t>
  </si>
  <si>
    <t xml:space="preserve">اغلاق نظام ESC </t>
  </si>
  <si>
    <t>Cerrar el sistema de ESC</t>
  </si>
  <si>
    <t>Круиз-контроль - - - km/h</t>
  </si>
  <si>
    <t>کنترل کروز    کیلومتر در ساعت</t>
  </si>
  <si>
    <t>مثبت السرعة --- كم / ساعة</t>
  </si>
  <si>
    <t>Control de crucero-km/h</t>
  </si>
  <si>
    <t>Включена система круиза-контроля</t>
  </si>
  <si>
    <t>فعال کردن کنترل کروز</t>
  </si>
  <si>
    <t>تشغيل نظام مثبت السرعة</t>
  </si>
  <si>
    <t>Abrir el sistema de control de crucero</t>
  </si>
  <si>
    <t>Выключена система круиза-контроля</t>
  </si>
  <si>
    <t>خروج از سیستم کنترل کروز</t>
  </si>
  <si>
    <t>الخروج من نظام مثبت السرعة</t>
  </si>
  <si>
    <t>Salir del sistema de control de crucero</t>
  </si>
  <si>
    <t>Отключена система круиза-контроля</t>
  </si>
  <si>
    <t>بستن سیستم کنترل کروز</t>
  </si>
  <si>
    <t>ايقاف تشغيل نظام مثبت السرعة</t>
  </si>
  <si>
    <t>Cerrar el sistema de control de crucero</t>
  </si>
  <si>
    <t>Активный разгон</t>
  </si>
  <si>
    <t>شتاب دادن مبتکرانه</t>
  </si>
  <si>
    <t>التسريع النشط</t>
  </si>
  <si>
    <t>Aceleración iniciativa</t>
  </si>
  <si>
    <t>Снизить скорость и связывайте с пунктом послепродажного обслуживания</t>
  </si>
  <si>
    <t>سرعت را پایین بیاورید و با واحد خدمات پس از فروش تماس بگیرید</t>
  </si>
  <si>
    <t>قم بالتباطؤ والاتصال بمركز الخدمة</t>
  </si>
  <si>
    <t>Aminore la velocidad y contacte con el servicio de post-venta</t>
  </si>
  <si>
    <t>Снизить скорость, остановить машину и связывайте с пунктом послепродажного обслуживания</t>
  </si>
  <si>
    <t>سرعت را پایین آورده و خودرو را پارک کرده و با واحد خدمات پس از فروش تماس بگیرید</t>
  </si>
  <si>
    <t>قم بالتباطؤ والوقوف والاتصال بمركز الخدمة</t>
  </si>
  <si>
    <t>Aminore la velocidad hasta parar y contacte con el servicio de post-venta</t>
  </si>
  <si>
    <t>Включен режим экономии</t>
  </si>
  <si>
    <t>ورود به مد اقتصادی</t>
  </si>
  <si>
    <t>وضع الاقتصاد</t>
  </si>
  <si>
    <t>Entra el modo económico</t>
  </si>
  <si>
    <t>Включен режим форсажа</t>
  </si>
  <si>
    <t>ورود به مد ورزشی</t>
  </si>
  <si>
    <t>وضع الرياضة</t>
  </si>
  <si>
    <t>Entra el modo de movimiento</t>
  </si>
  <si>
    <t>Невозможность включения режима экономии</t>
  </si>
  <si>
    <t>ورود به مد اقتصادی امکان ناپذیر است</t>
  </si>
  <si>
    <t>لا يمكن دخول وضع الاقتصاد</t>
  </si>
  <si>
    <t>No puede entrar el modo económico</t>
  </si>
  <si>
    <t>Невозможность включения режима форсажа</t>
  </si>
  <si>
    <t>ورود به مد ورزشی امکان ناپذیر است</t>
  </si>
  <si>
    <t>لا يمكن دخول وضع الرياضة</t>
  </si>
  <si>
    <t>No puede entrar el modo de movimiento</t>
  </si>
  <si>
    <t>Переключайте на передачу D</t>
  </si>
  <si>
    <t>دنده را در حالت دنده D قرار دهید</t>
  </si>
  <si>
    <t>يرجى التحويل الي وضع D</t>
  </si>
  <si>
    <t>Por favor, cambie a la marcha D</t>
  </si>
  <si>
    <t>Перегрев КП, остановите машину осторожно</t>
  </si>
  <si>
    <t>حرارت گیربکس بسیار بالا است. لطفا خودرو را در جایی امن پار کنید</t>
  </si>
  <si>
    <t>درجة حرارة علبة السرعة مرتفعة جدا، ويرجي وقوف المركبة بآمن</t>
  </si>
  <si>
    <t>Por favor detenga el auto de forma segura si la caja de cambios se sobrecalienta.</t>
  </si>
  <si>
    <t>Перегрев КП, ожидайте не менее 5 мин.</t>
  </si>
  <si>
    <t>حرارت گیربکس بسیار بالا است. لطفا برای 5 دقیقه صبر کنید.</t>
  </si>
  <si>
    <t>درجة حرارة علبة السرعة مرتفعة جدا، ويرجي  الانتظار لمدة أكثر من 5 دقائق</t>
  </si>
  <si>
    <t>Por favor espere por &gt;5 min si la caja de cambios se sobrecalienta.</t>
  </si>
  <si>
    <t>Переключайте обратно рычаг направо</t>
  </si>
  <si>
    <t>اهرم را به سمت راست برگردانید</t>
  </si>
  <si>
    <t>يرجى تحويل الذراع الي اليمين</t>
  </si>
  <si>
    <t>Por favor, gire de nuevo la palanca de accionamiento hacia la derecha</t>
  </si>
  <si>
    <t>Нажмите на педаль тормоза</t>
  </si>
  <si>
    <t>پدال ترمز را فشار دهید</t>
  </si>
  <si>
    <t xml:space="preserve">يرجي الفرامل </t>
  </si>
  <si>
    <t>Por favor pise el pedal del freno</t>
  </si>
  <si>
    <t>Нажмите клавиши разблокировки</t>
  </si>
  <si>
    <t>کلید گشایش قفل را فشار دهید</t>
  </si>
  <si>
    <t>اضغط على زر الفتح</t>
  </si>
  <si>
    <t>Por favor presione el botón de desbloqueo</t>
  </si>
  <si>
    <t>Нажмите педаль тормоза и клавиши разблокировки</t>
  </si>
  <si>
    <t>پدال ترمز و کلید گشایش قفل را فشار دهید</t>
  </si>
  <si>
    <t xml:space="preserve">يرجى الدوس علي الفرامل الضغط على زر الفتح </t>
  </si>
  <si>
    <t>Por favor pise el pedal del freno y presione el botón de desbloqueo</t>
  </si>
  <si>
    <t>Переключайте в положение P при остановке (покое) машины</t>
  </si>
  <si>
    <t>پس از توقف خودرو دنده را در دنده P قرار دهید</t>
  </si>
  <si>
    <t>يرجى التحويل الي وضع P عند الوقوف</t>
  </si>
  <si>
    <t>Por favor marque la marcha P en reposo</t>
  </si>
  <si>
    <t>Выход из строя стояночного тормоза</t>
  </si>
  <si>
    <t>پارک کردن خودرو امکان ناپذیر بود</t>
  </si>
  <si>
    <t>فشل الوقوف</t>
  </si>
  <si>
    <t>Falta de estacionamiento</t>
  </si>
  <si>
    <t>Для проверки КП связывайте с пунктом послепродажного обслуживания</t>
  </si>
  <si>
    <t>برای بازرسی گیربکس با واحد خدمات پس از فروش تماس بگیرید</t>
  </si>
  <si>
    <t>يرجي الاتصال بمركز الخدمة لفحص علبة السرعة</t>
  </si>
  <si>
    <t>Contacte con el servicio de post-venta para inspeccionar la caja de cambios</t>
  </si>
  <si>
    <t>Неисправность электроусилителя руля</t>
  </si>
  <si>
    <t>نقص فرمان برقی</t>
  </si>
  <si>
    <t>فشل جهاز التوجيه الكهربائي</t>
  </si>
  <si>
    <t>Avería de dirección asistida eléctrica</t>
  </si>
  <si>
    <t>Нажать одновременно педаль тормоза</t>
  </si>
  <si>
    <t>همزمان پدال ترمز را فشار دهید</t>
  </si>
  <si>
    <t>قم بالدوس على دواسة الفرامل في الوقت نفسه</t>
  </si>
  <si>
    <t>Al mismo tiempo pise el pedal de freno</t>
  </si>
  <si>
    <t>Пристегните ремень безопасности</t>
  </si>
  <si>
    <t>کمربند ایمنی را ببندید</t>
  </si>
  <si>
    <t>يرجي ربط حزام الأمان</t>
  </si>
  <si>
    <t>Por favor, póngase el cinturón de seguridad</t>
  </si>
  <si>
    <t>Неисправность системы электронного стояночного тормоза</t>
  </si>
  <si>
    <t>نقص سیستم ترمز پارک برقی</t>
  </si>
  <si>
    <t>فشل نظام وقوف المركبة الإلكتروني</t>
  </si>
  <si>
    <t>Avería del sistema de estacionamiento electrónico</t>
  </si>
  <si>
    <t>Включена функция автоматического стояночного тормоза</t>
  </si>
  <si>
    <t>سیستم ترمز پارک اتوماتیک فعال</t>
  </si>
  <si>
    <t>تشغيل وظيفة وقوف المركبة التلقائي</t>
  </si>
  <si>
    <t>Abrir la función de estacionamiento automático</t>
  </si>
  <si>
    <t>Неисправность функции автоматического стояночного тормоза</t>
  </si>
  <si>
    <t>نقص سیستم ترمز پارک اتوماتیک</t>
  </si>
  <si>
    <t>فشل وظيفة وقوف المركبة التلقائي</t>
  </si>
  <si>
    <t>Avería de la función de estacionamiento automático</t>
  </si>
  <si>
    <t>Пристегните ремень безопасности и закройте двери машины</t>
  </si>
  <si>
    <t>کمربند و درب خودرو را ببندید</t>
  </si>
  <si>
    <t>يرجي ربط حزام الأمان وإغلاق الباب</t>
  </si>
  <si>
    <t>Por favor, póngase el cinturón de seguridad y cerre la puerta del vehículo</t>
  </si>
  <si>
    <t>Выход из строя функции стояночного тормоза</t>
  </si>
  <si>
    <t>ترمز دستی خراب است</t>
  </si>
  <si>
    <t>فشل وظيفة وقوف المركبة</t>
  </si>
  <si>
    <t>Función fracasa de freno de estacionamiento</t>
  </si>
  <si>
    <t>Неисправность работы гидроусилителя торможения</t>
  </si>
  <si>
    <t>سیستم کمکی ترمز هیدرولیک با نحو درست کار نمی کند</t>
  </si>
  <si>
    <t>مساعد الفرامل الهيدروليكي لا يعمل بشكل صحيح</t>
  </si>
  <si>
    <t>La asistencia de servofreno hidráulico no funciona correctamente</t>
  </si>
  <si>
    <t>Выход из строя гидроусилителя торможения</t>
  </si>
  <si>
    <t>سیستم کمکی ترمز هیدرولیک خراب است</t>
  </si>
  <si>
    <t>فشل مساعد الفرامل الهيدروليكي</t>
  </si>
  <si>
    <t>Falla de asistencia de servofreno hidráulico</t>
  </si>
  <si>
    <t>Отказ системы помощи на уклоне</t>
  </si>
  <si>
    <t>نقص سیستم کنترل در سربالایی</t>
  </si>
  <si>
    <t>فشل نظام المساعدة في المنحدرات</t>
  </si>
  <si>
    <t>Avería de la función de asistencia de rampa</t>
  </si>
  <si>
    <t>Отказ системы помощи при спуске</t>
  </si>
  <si>
    <t>نقص در سیستم کنترل حرکت در سرازیری</t>
  </si>
  <si>
    <t>فشل نظام التحكم بالإنحدار</t>
  </si>
  <si>
    <t>Avería de descenso de pendientes</t>
  </si>
  <si>
    <t>Включена система помощи при спуске</t>
  </si>
  <si>
    <t>کنترل حرکت در سرازیری فعال است</t>
  </si>
  <si>
    <t>تم تشغيل نظام التحكم بالإنحدار</t>
  </si>
  <si>
    <t>El descenso de pendientes se ha iniciado</t>
  </si>
  <si>
    <t>Идет запуск системы помощи при спуске</t>
  </si>
  <si>
    <t>تدارکات کنترل حرکت در سرازیری در جریان است</t>
  </si>
  <si>
    <t>يتم إعداد نظام التحكم بالإنحدار</t>
  </si>
  <si>
    <t>El descenso de pendientes está preparando</t>
  </si>
  <si>
    <t>Выключена система помощи при спуске</t>
  </si>
  <si>
    <t>کنترل حرک در سرازیری بسته است</t>
  </si>
  <si>
    <t>تم ايقاف تشغيل نظام التحكم بالإنحدار</t>
  </si>
  <si>
    <t>El descenso de pendientes se ha cerrado</t>
  </si>
  <si>
    <t>Не детектирован ключ</t>
  </si>
  <si>
    <t>کلید شناسایی نشد</t>
  </si>
  <si>
    <t>لم يتم الكشف عن المفتاح</t>
  </si>
  <si>
    <t>La llave no se detecta</t>
  </si>
  <si>
    <t>Недонапряжение пульта управления</t>
  </si>
  <si>
    <t>شارژ کم باتری</t>
  </si>
  <si>
    <t>طاقة بطارية المفتاح منخفضة</t>
  </si>
  <si>
    <t>Baja potencia de llave</t>
  </si>
  <si>
    <t>Провал антиугонной проверки</t>
  </si>
  <si>
    <t>هویت قبول نشد</t>
  </si>
  <si>
    <t>فشل مصادقة مكافحة السرقة</t>
  </si>
  <si>
    <t>Fallo en la autenticación de antirrobo</t>
  </si>
  <si>
    <t>Поставите ключ ближе к подстаканнику для запуска двигателя</t>
  </si>
  <si>
    <t>برای استارت کلید را نزدیک به جالیوانی قرار دهید</t>
  </si>
  <si>
    <t>يرجى قرب المفتاح من حامل الكأس لبدء التشغيل</t>
  </si>
  <si>
    <t>Por favor acerque la llave al soporte de vaso para iniciar</t>
  </si>
  <si>
    <t>Сбой системы, возможность запуска - X-кратности</t>
  </si>
  <si>
    <t>نقص سیستم. برای X بار دیگر می توان خودرو را استارت کرد</t>
  </si>
  <si>
    <t>فشل النظام، ويمكن بدء التشغيل X مرة</t>
  </si>
  <si>
    <t>Fallo del sistema, puede iniciarse X veces restantes</t>
  </si>
  <si>
    <t>Отказ реле IGN1, сделайте ремонт</t>
  </si>
  <si>
    <t>رله IGN1 خراب است.</t>
  </si>
  <si>
    <t>فشل مرحل IGN1، ويحتاج الإصلاح</t>
  </si>
  <si>
    <t>Fallo de relé IGN1, se requiere una reparación</t>
  </si>
  <si>
    <t>Отказ системы блокировки руля</t>
  </si>
  <si>
    <t>نقص قفل فرمان</t>
  </si>
  <si>
    <t>فشل نظام قفل التوجيه</t>
  </si>
  <si>
    <t>Avería del sistema de cerradura de dirección</t>
  </si>
  <si>
    <t>Заедание замка поворота колеса, поверните руль</t>
  </si>
  <si>
    <t>قفل فرمان گیر کرده است. عربیلک فرمان را بچرخانید</t>
  </si>
  <si>
    <t>انسداد قفل التوجيه، ويرجي دوران عجلة القيادة</t>
  </si>
  <si>
    <t>Atasco de cerradura de dirección, por favor rota el volante</t>
  </si>
  <si>
    <t>Провал блокировки замка поворота колеса</t>
  </si>
  <si>
    <t>قفل فرمان قفل نشد.</t>
  </si>
  <si>
    <t>فشل تشغيل قفل التوجيه</t>
  </si>
  <si>
    <t>Fallo en bloqueo de la cerradura de dirección</t>
  </si>
  <si>
    <t>Недонапряжение работы блокировки замка поворота колеса</t>
  </si>
  <si>
    <t>ولتاژ کار قفل فرمان بسیار پایین است</t>
  </si>
  <si>
    <t>جهد تشغيل قفل التوجيه منخفض</t>
  </si>
  <si>
    <t>Bajo voltaje de funcionamiento de bloqueo de dirección</t>
  </si>
  <si>
    <t>Перенапряжение работы блокировки замка поворота колеса</t>
  </si>
  <si>
    <t>ولتاژ کار قفل فرمان بسیار بالا است</t>
  </si>
  <si>
    <t>جهد تشغيل قفل التوجيه مرتفع</t>
  </si>
  <si>
    <t>Alto voltaje de funcionamiento de bloqueo de dirección</t>
  </si>
  <si>
    <t>Сбой системы запуска без ключа</t>
  </si>
  <si>
    <t>نقص سیستم دسترسی بدون کلید</t>
  </si>
  <si>
    <t>فشل نظام التشغيل بدون مفتاح</t>
  </si>
  <si>
    <t>Avería del sistema de arranque sin llave</t>
  </si>
  <si>
    <t>Нажмите на педаль тормоза (или педаль сцепления) для запуска двигателя</t>
  </si>
  <si>
    <t>برای استارت لطفا پدال ترمز (یا کلاچ) را فشار دهید</t>
  </si>
  <si>
    <t>يرجى الدوس علي الفرامل (أو القابض) لبدء التشغيل</t>
  </si>
  <si>
    <t>Por favor pise el pedal del freno (embrague) para iniciar</t>
  </si>
  <si>
    <t>Включайте в передачу P или N для запуска двигателя</t>
  </si>
  <si>
    <t>برای استارت لطفا دنده را در دنده P یا N قرار دهید</t>
  </si>
  <si>
    <t>يرجى التحويل الي وضع P أو وضع N لبدء التشغيل</t>
  </si>
  <si>
    <t>Por favor, marque la marcha P o N para iniciar</t>
  </si>
  <si>
    <t>Включайте вновь АК, включайте в передачу Р стояночного тормоза</t>
  </si>
  <si>
    <t>لطفا مجددا روشن کرده و دنده را در دنده P قرار دهید</t>
  </si>
  <si>
    <t>يرجى إعادة التوصيل بالطاقة، ويرجي التحويل الي وضع P للوقوف</t>
  </si>
  <si>
    <t>Por favor, energice de nuevo, marque la marcha P para estacionar</t>
  </si>
  <si>
    <t>Запрет на запуск двигателя</t>
  </si>
  <si>
    <t>استارت کردن موتور ممنوع است</t>
  </si>
  <si>
    <t>منع بدء تشغيل المحرك</t>
  </si>
  <si>
    <t>El motor está prohibido el arranque</t>
  </si>
  <si>
    <t>Провал проверки блокировки замка поворота колеса</t>
  </si>
  <si>
    <t>قفل فرمان تایید نشد</t>
  </si>
  <si>
    <t>فشل مصادقة قفل التوجيه</t>
  </si>
  <si>
    <t>Fallo en la autenticación de bloqueo de dirección</t>
  </si>
  <si>
    <t>Не выключен свет</t>
  </si>
  <si>
    <t>چراغ خاموش نشد</t>
  </si>
  <si>
    <t>لم يتم إغلاق الإضاءة</t>
  </si>
  <si>
    <t>No cerre la luz</t>
  </si>
  <si>
    <t>Включена системы сопровождения домой со мной</t>
  </si>
  <si>
    <t>کاربرد "با من به خانه بروید" فعال است</t>
  </si>
  <si>
    <t>Abrir la función de acompañarme a casa</t>
  </si>
  <si>
    <t>Неисправность лампы торможения</t>
  </si>
  <si>
    <t>نقص چراغ ترمز</t>
  </si>
  <si>
    <t>Avería de luz de freno</t>
  </si>
  <si>
    <t>Неисправность ближнего света</t>
  </si>
  <si>
    <t>نقص چراغ نور پایین</t>
  </si>
  <si>
    <t>فشل المصباح المرتفع</t>
  </si>
  <si>
    <t>Avería de luz baja</t>
  </si>
  <si>
    <t>Неисправность лампы поворота</t>
  </si>
  <si>
    <t>نقص چراغ راهنما</t>
  </si>
  <si>
    <t>فشل مصباح التوجيه</t>
  </si>
  <si>
    <t>Avería de luz de señal de dirección</t>
  </si>
  <si>
    <t>Неисправность лампы заднего хода</t>
  </si>
  <si>
    <t>نقص چراغ دنده عقب</t>
  </si>
  <si>
    <t xml:space="preserve">فشل مصباح التراجع </t>
  </si>
  <si>
    <t>Avería de luz de marcha atrás</t>
  </si>
  <si>
    <t>Неисправность задней противотуманной лампы</t>
  </si>
  <si>
    <t>نقص چراغ‌های مه شکن عقب</t>
  </si>
  <si>
    <t>فشل مصباح الضباب الخلفي</t>
  </si>
  <si>
    <t>Avería de faro antiniebla trasero</t>
  </si>
  <si>
    <t>Неисправность габаритного огня</t>
  </si>
  <si>
    <t>نقص چراغ‌های موقعیت‌نما</t>
  </si>
  <si>
    <t>فشل مصباح الموقف</t>
  </si>
  <si>
    <t>Avería de luz indicadora de ubicación</t>
  </si>
  <si>
    <t>Не проведена конфигурация датчика</t>
  </si>
  <si>
    <t>آموزش سنسور انجام نگرفت</t>
  </si>
  <si>
    <t>لا يتعلم جهاز الاستشعار</t>
  </si>
  <si>
    <t>El Sensor no aprende</t>
  </si>
  <si>
    <t>Перепад давления шины</t>
  </si>
  <si>
    <t>فشار تایر بسیار پایین</t>
  </si>
  <si>
    <t xml:space="preserve">ضغط الهواء في الإطارات منخفضة جدا </t>
  </si>
  <si>
    <t>La presión de los neumáticos es demasiado baja</t>
  </si>
  <si>
    <t>Перегрев шины</t>
  </si>
  <si>
    <t>حرارت تایر بسیار بالا</t>
  </si>
  <si>
    <t>درجة حرارة الإطارات مرتفعة جدا</t>
  </si>
  <si>
    <t>La temperatura del neumático es demasiado alta</t>
  </si>
  <si>
    <t>Быстрый выпуск воздуха шины</t>
  </si>
  <si>
    <t>تایر نشت سریع دارد</t>
  </si>
  <si>
    <t>تفريغ ضغط الهواء في الإطارات بسرعة</t>
  </si>
  <si>
    <t>La presión de los neumáticos rápidamente se desfoga</t>
  </si>
  <si>
    <t>Переполнение шины</t>
  </si>
  <si>
    <t>فشار تایر بسیار بالا</t>
  </si>
  <si>
    <t>ضغط الهواء في الإطارات مرتفع جدا</t>
  </si>
  <si>
    <t>La presión de los neumáticos está demasiado alta</t>
  </si>
  <si>
    <t>Неисправность датчика</t>
  </si>
  <si>
    <t>نقص سنسور</t>
  </si>
  <si>
    <t>فشل جهاز الاستشعار</t>
  </si>
  <si>
    <t>Fallo de sensor</t>
  </si>
  <si>
    <t>Неисправность сигнала TPMS</t>
  </si>
  <si>
    <t>سیستم TPMS پیام از وضعیت غیرعادی می دهد</t>
  </si>
  <si>
    <t>إشارة TPMS غير طبيعية</t>
  </si>
  <si>
    <t>Señal de TPMS Anormal</t>
  </si>
  <si>
    <t>Недонапряжение датчика</t>
  </si>
  <si>
    <t>شارژ سنسور کم است</t>
  </si>
  <si>
    <t>طاقة بطارية جهاز الاستشعار منخفضة</t>
  </si>
  <si>
    <t>Baja potencia de sensor</t>
  </si>
  <si>
    <t>Отключена TPMS</t>
  </si>
  <si>
    <t>سیستم TPMS بسته است</t>
  </si>
  <si>
    <t>تشغيل نظام TPMS</t>
  </si>
  <si>
    <t>Cerrar el sistema de TPMS</t>
  </si>
  <si>
    <t>Ограничение функционирования переднего радара</t>
  </si>
  <si>
    <t>کارکرد سنسورهای جلو محدود شده است</t>
  </si>
  <si>
    <t>وظيفة الرادار الأمامي محدودة</t>
  </si>
  <si>
    <t>La función de radar delantero se limita</t>
  </si>
  <si>
    <t>Поддержите дистанции безопасности между машинами</t>
  </si>
  <si>
    <t>برای امنیت فاصله کافی از خودروهای جلو حفظ کنید</t>
  </si>
  <si>
    <t>يرجي الحفاظ على مسافة آمنة بين المركبات</t>
  </si>
  <si>
    <t>Por favor, mantenga la distancia segura entre vehículos</t>
  </si>
  <si>
    <t>Нажмите педаль тормоза</t>
  </si>
  <si>
    <t>ترمز بگیرید</t>
  </si>
  <si>
    <t>يرجي الفرامل</t>
  </si>
  <si>
    <t>Por favor, frene</t>
  </si>
  <si>
    <t>Salir del sistema de crucero</t>
  </si>
  <si>
    <t>Невозможность активации системы круиза-контроля</t>
  </si>
  <si>
    <t>سیستم کنترل کروز فعال نشد</t>
  </si>
  <si>
    <t>لا يمكن تفعيل نظام مثبت السرعة</t>
  </si>
  <si>
    <t>El sistema de crucero no se puede activar</t>
  </si>
  <si>
    <t>Невозможность активации системы круиза-контроля Не пристегнут ремень безопасности</t>
  </si>
  <si>
    <t>سیستم کنترل کروز فعال نشد
کمربند ایمنی بسته نشد</t>
  </si>
  <si>
    <t>لا يمكن تفعيل نظام مثبت السرعة بسبب عدم ربط حزام الأمان</t>
  </si>
  <si>
    <t>El sistema de crucero no se puede activar
No lleve el cinturón de seguridad</t>
  </si>
  <si>
    <t>Невозможность активации системы круиза-контроля Не закрыты четыре двери салона и две крышки</t>
  </si>
  <si>
    <t>سیستم کنترل کروز فعال نشد
درب‌های جانبی و درب‌های صندوق‌های جلو و عقب بسته نشد</t>
  </si>
  <si>
    <t>لا يمكن تفعيل نظام مثبت السرعة بسبب عدم اغلاف جميع الأبواب والغطائين</t>
  </si>
  <si>
    <t>El sistema de crucero no se puede activar
Cuatro puertas y dos cubiertas no están cerradas</t>
  </si>
  <si>
    <t>Невозможность активации системы круиза-контроля Не включена передача D</t>
  </si>
  <si>
    <t>سیستم کنترل کروز فعال نشد
دنده در دنده D قرار نگرفته است</t>
  </si>
  <si>
    <t>لا يمكن تفعيل نظام مثبت السرعة بسبب عدم وجود الذراع في وضع D</t>
  </si>
  <si>
    <t>El sistema de control de crucero no se puede activar
La marcha no posiciona la marcha D</t>
  </si>
  <si>
    <t>Невозможность активации системы круиза-контроля Отсутствие впереди машины сопровождения</t>
  </si>
  <si>
    <t>سیستم کنترل کروز فعال نشد
خودروی راهنما در جلو وجود ندارد</t>
  </si>
  <si>
    <t>لا يمكن تفعيل نظام مثبت السرعة بسبب عدم وجود مركبة الدليل امامه</t>
  </si>
  <si>
    <t>El sistema de control de crucero no se puede activar
En el frente no hay vehículo de orientación</t>
  </si>
  <si>
    <t>Невозможность активации системы круиза-контроля Не удовлетворение скорости движения машины</t>
  </si>
  <si>
    <t>سیستم کنترل کروز فعال نشد
سرعت به حد مورد نیاز نرسیده است</t>
  </si>
  <si>
    <t>لا يمكن تفعيل نظام مثبت السرعة بسبب عدم سرعة القيادة المتطلبات</t>
  </si>
  <si>
    <t>El sistema de control de crucero no se puede activar
La velocidad no está alcanzada suficientemente</t>
  </si>
  <si>
    <t>Загрязнение или сбой переднего радара</t>
  </si>
  <si>
    <t>سنسور جلو آلوده شده است</t>
  </si>
  <si>
    <t>الرادار الأمامي قذرة أو عمى</t>
  </si>
  <si>
    <t>El radar delantero está sucio o ceguero</t>
  </si>
  <si>
    <t>Схватите руль руками</t>
  </si>
  <si>
    <t>با دست‌ها غربیلک فرمان را بگیرید</t>
  </si>
  <si>
    <t>يرجي عقد عجلة القيادة باليدين</t>
  </si>
  <si>
    <t>Por favor, tome el volante con manos</t>
  </si>
  <si>
    <t>Ограничение функционирования передней камеры</t>
  </si>
  <si>
    <t>کارکرد دوربین جلو محدود شد هاست</t>
  </si>
  <si>
    <t>وظيفة الكاميرا الأمامي محدودة</t>
  </si>
  <si>
    <t>La función de cámara delantera se limita</t>
  </si>
  <si>
    <t>Недоступна система ограничения скорости</t>
  </si>
  <si>
    <t>سیستم کمکی محدودسازی سرعت قابل استفاده نیست</t>
  </si>
  <si>
    <t>نظام حد السرعة غير متوفر</t>
  </si>
  <si>
    <t>El sistema auxiliar de límite de velocidad no está disponible</t>
  </si>
  <si>
    <t>Очистите поверхности радара</t>
  </si>
  <si>
    <t>صفحه سنسور جلو تمیز کنید</t>
  </si>
  <si>
    <t>يرجي تنظيف سطح الرادار</t>
  </si>
  <si>
    <t>Por favor, limpie la superficie de radar</t>
  </si>
  <si>
    <t>Режим буксирования, ограничение функционирования заднего бокового радара</t>
  </si>
  <si>
    <t>مد خودروی کشنده. کارکرد سنسور عقب محدود شده است</t>
  </si>
  <si>
    <t>وضع المقطورة، وظيفة الرادار الجانبي والخلفي محدودة</t>
  </si>
  <si>
    <t>En el modo de remolcar el vehículo, la función de radar lateral trasera se limita</t>
  </si>
  <si>
    <t>Принимать приоритет управления</t>
  </si>
  <si>
    <t>تحویل بگیرید</t>
  </si>
  <si>
    <t xml:space="preserve">يرجي التحكم </t>
  </si>
  <si>
    <t>Por favor, tome a cargo</t>
  </si>
  <si>
    <t>شتاب فعالانه</t>
  </si>
  <si>
    <t>Acelera activamente</t>
  </si>
  <si>
    <t>Разнос генератора (мотора)</t>
  </si>
  <si>
    <t>سرعت موتور برقی بیش از حد است</t>
  </si>
  <si>
    <t>السرعة الزائدة للمحرك</t>
  </si>
  <si>
    <t>Sobrevelocidad del motor</t>
  </si>
  <si>
    <t>Неисправность зарядного устройства</t>
  </si>
  <si>
    <t>نقص شارژر</t>
  </si>
  <si>
    <t>فشل الشاحن</t>
  </si>
  <si>
    <t>Avería de cargador de batería</t>
  </si>
  <si>
    <t>Превышение ограничения скорости</t>
  </si>
  <si>
    <t>سرعت حرکت بیش از حد مجاز است</t>
  </si>
  <si>
    <t>تجاوز السرعة</t>
  </si>
  <si>
    <t>La velocidad excede el límite</t>
  </si>
  <si>
    <t>SOC низкий, переход в режим EV не допустим</t>
  </si>
  <si>
    <t>SOC بسیار پایین است. وردو به مد EV امکانپذیر نیست</t>
  </si>
  <si>
    <t>SOC es baja, no se puede entrar en el modo EV</t>
  </si>
  <si>
    <t>Снимайте пистолет подзарядки</t>
  </si>
  <si>
    <t>کلگی شارژ را جدا کنید</t>
  </si>
  <si>
    <t>افصل بندقية الشحن</t>
  </si>
  <si>
    <t>Desconecte la pistola de carga</t>
  </si>
  <si>
    <t>Взаимосвязь с мобильником</t>
  </si>
  <si>
    <t>اتصال موبایل</t>
  </si>
  <si>
    <t>توصيل الهاتف المحمول</t>
  </si>
  <si>
    <t>Interconexión de microteléfono</t>
  </si>
  <si>
    <t>Маршрут навигации не определен</t>
  </si>
  <si>
    <t>مسیر جی پی اس تعیین نشد</t>
  </si>
  <si>
    <t>الملاحة لا تخطط الخطوط</t>
  </si>
  <si>
    <t>El navegator no planifica la ruta de navegación</t>
  </si>
  <si>
    <t>Установить LIM</t>
  </si>
  <si>
    <t>Ajustes de límite</t>
  </si>
  <si>
    <t>Неисправность задней двери электропривода</t>
  </si>
  <si>
    <t>نقص درب عقب الکتریکی</t>
  </si>
  <si>
    <t>خطأ الباب الكهربائي الخلفي</t>
  </si>
  <si>
    <t>Avería de puerta trasera eléctrica</t>
  </si>
  <si>
    <t>Срабатывание предупреждения схватки задней двери электропривода</t>
  </si>
  <si>
    <t>کاربرد آنتی پینچ درب عقب الکتریکی فعال شد</t>
  </si>
  <si>
    <t xml:space="preserve">مكافحة التشبك للباب الكهربائي الخلفي </t>
  </si>
  <si>
    <t>La puerta trasera eléctrica se produce una anti-sujección</t>
  </si>
  <si>
    <t>تشغيل وظيفة مرافقة لي للعودة الي المنزل</t>
  </si>
  <si>
    <t>فشل المصباح المنخفض</t>
  </si>
  <si>
    <t>SOC منخفض، لا يمكن  دخول وضع EV</t>
  </si>
  <si>
    <t>俄文</t>
  </si>
  <si>
    <t>波斯文</t>
  </si>
  <si>
    <t>阿拉伯</t>
  </si>
  <si>
    <t>西班牙</t>
  </si>
  <si>
    <t>warning_icon_71</t>
  </si>
  <si>
    <t>warning_icon_72</t>
  </si>
  <si>
    <t>warning_icon_74</t>
  </si>
  <si>
    <t>warning_icon_75</t>
  </si>
  <si>
    <t>warning_icon_78</t>
  </si>
  <si>
    <t>warning_icon_79</t>
  </si>
  <si>
    <t>warning_icon_80</t>
  </si>
  <si>
    <t>warning_icon_81</t>
  </si>
  <si>
    <t>warning_icon_82</t>
  </si>
  <si>
    <t>warning_icon_83</t>
  </si>
  <si>
    <t>门开安全带报警</t>
  </si>
  <si>
    <t>Door and Seatbelt</t>
  </si>
  <si>
    <t>warning_icon_2</t>
  </si>
  <si>
    <t>(CAN_boInESC_ABSFailed()&amp;&amp;WRN__boESCReady)||(1 == CAN_u8InESC_HBB_Sts()&amp;&amp;0x02 == WRN__u8HBB)</t>
  </si>
  <si>
    <t>(CAN_boInESC_EBDFailed()&amp;&amp;WRN__boESCReady)||((2 == CAN_u8InESC_HBB_Sts()||3 == CAN_u8InESC_HBB_Sts())&amp;&amp;0x02 == WRN__u8HBB)</t>
  </si>
  <si>
    <t>后排安全带未系输出</t>
  </si>
  <si>
    <t>RearSeatbeltOutput</t>
  </si>
  <si>
    <t>BSD报警声</t>
  </si>
  <si>
    <t>RCTASnd</t>
  </si>
  <si>
    <t>AUDM_nenRCTA</t>
  </si>
  <si>
    <t>0x03 == EEH_biGetBSDFunc()</t>
  </si>
  <si>
    <t>0x01 == CAN_boInRSRS_RCTA_WarningLeft()||0x01 == CAN_boInRSRS_RCTA_WarningRight()</t>
  </si>
  <si>
    <t>0x03 == EEH_biGetCruise()||0x04 == EEH_biGetCruise()</t>
  </si>
  <si>
    <t>(0x02==CAN_u8InFRS_ALOD_ControlType())&amp;&amp;((CAN_u8InFRS_ALOD_Status() == 0x03)||(CAN_u8InFRS_ALOD_Status() == 0x04)||(CAN_u8InFRS_ALOD_Status() == 0x05)||(CAN_u8InFRS_ALOD_Status() == 0x06)||(CAN_u8InFRS_ALOD_Status() == 0x07))</t>
  </si>
  <si>
    <t>(0x02==CAN_u8InFRS_ALOD_ControlType())&amp;&amp;((0x01 == CAN_u8InFRS_ALOD_Status())||(0x02 == CAN_u8InFRS_ALOD_Status()))</t>
  </si>
  <si>
    <t>(0x02==CAN_u8InFRS_ALOD_ControlType())&amp;&amp;((CAN_u8InFRS_ALOD_Status() == 0x08)||(CAN_u8InFRS_ALOD_Status() == 0x09))</t>
  </si>
  <si>
    <t>0x02 == EEH_biGetIHBC()</t>
  </si>
  <si>
    <t>0x01 == EEH_biGetAEB()||0x02 == EEH_biGetAEB()||0x03 == EEH_biGetAEB()</t>
  </si>
  <si>
    <t>0x02 == EEH_biGetBSDFunc()||0x03 == EEH_biGetBSDFunc()</t>
  </si>
  <si>
    <t>WRN__u8BSDFuncType==0x03?0x02 == CAN_u8InRSRS_SystemState() : 0x04 == CAN_u8InPAS_SVA_Mode()</t>
  </si>
  <si>
    <t>WRN__u8BSDFuncType==0x03?0x01 == CAN_u8InRSRS_SystemState() : 0x02 == CAN_u8InPAS_SVA_Mode()</t>
  </si>
  <si>
    <t>WRN__u8BSDFuncType==0x03?0x03 == CAN_u8InRSRS_SystemState() : 0x03 == CAN_u8InPAS_SVA_Mode()</t>
  </si>
  <si>
    <t>0x04 == EEH_biGetCruise()</t>
  </si>
  <si>
    <t>(0x03==CAN_u8InFRS_ALOD_ControlType())&amp;&amp;(0x01 == CAN_u8InFRS_ALOD_Status()||0x02 == CAN_u8InFRS_ALOD_Status())</t>
  </si>
  <si>
    <t>(0x03==CAN_u8InFRS_ALOD_ControlType())&amp;&amp;((0x03 == CAN_u8InFRS_ALOD_Status()||0x04 == CAN_u8InFRS_ALOD_Status()||0x05 == CAN_u8InFRS_ALOD_Status()||0x06 == CAN_u8InFRS_ALOD_Status()||0x07 == CAN_u8InFRS_ALOD_Status())&amp;&amp;(0x02 == CAN_u8InFCS_ALAD_Status()||0x03 == CAN_u8InFCS_ALAD_Status()))</t>
  </si>
  <si>
    <t>(0x03==CAN_u8InFRS_ALOD_ControlType())&amp;&amp;((0x03 == CAN_u8InFRS_ALOD_Status()||0x04 == CAN_u8InFRS_ALOD_Status()||0x05 == CAN_u8InFRS_ALOD_Status()||0x06 == CAN_u8InFRS_ALOD_Status()||0x07 == CAN_u8InFRS_ALOD_Status())&amp;&amp;(0x01 == CAN_u8InFCS_ALAD_Status()||0x06 == CAN_u8InFCS_ALAD_Status()||0x07 == CAN_u8InFCS_ALAD_Status()))</t>
  </si>
  <si>
    <t>(0x03==CAN_u8InFRS_ALOD_ControlType())&amp;&amp;(0x08 == CAN_u8InFRS_ALOD_Status()||0x09 == CAN_u8InFRS_ALOD_Status())</t>
  </si>
  <si>
    <t>0x02 == EEH_biGetLDW_LKS()||0x03 == EEH_biGetLDW_LKS()</t>
  </si>
  <si>
    <t>True == CANI_boInIPU_MotOverTemp()</t>
  </si>
  <si>
    <t>副安全气囊ON输出</t>
  </si>
  <si>
    <t>PsgAirbagOnOutput</t>
  </si>
  <si>
    <t>副安全气囊OFF输出</t>
  </si>
  <si>
    <t>PsgAirbagOffOutput</t>
  </si>
  <si>
    <t>电源ACC模式(用来给HMIApp hold resource)</t>
  </si>
  <si>
    <t>PowerACCWrn</t>
  </si>
  <si>
    <t>系统故障，自动切换舒适模式</t>
  </si>
  <si>
    <t>SwitchToComfortWrn</t>
  </si>
  <si>
    <t>0x03 == EEH_biGetTransmissionType() || 0x04 == EEH_biGetTransmissionType() || 0x05 == EEH_biGetTransmissionType()</t>
  </si>
  <si>
    <t>0x07==CANI_u8InBCM_DM_ChangeModeFailureReason()</t>
  </si>
  <si>
    <t>变速器过热，禁止切换驾驶模式</t>
  </si>
  <si>
    <t>TCUHeatSwitchDisableWrn</t>
  </si>
  <si>
    <t>0x02==CANI_u8InBCM_DM_ChangeModeFailureControllor()&amp;&amp;0x01==CANI_u8InBCM_DM_ChangeModeFailureReason()</t>
  </si>
  <si>
    <t>变速器处于故障模式，禁止切换驾驶模式</t>
  </si>
  <si>
    <t>TCUErrorSwitchDisableWrn</t>
  </si>
  <si>
    <t>0x02==CANI_u8InBCM_DM_ChangeModeFailureControllor()&amp;&amp;0x02==CANI_u8InBCM_DM_ChangeModeFailureReason()</t>
  </si>
  <si>
    <t>变速器处于高原模式，禁止切换驾驶模式</t>
  </si>
  <si>
    <t>HighlandSwitchDisableWrn</t>
  </si>
  <si>
    <t>0x02==CANI_u8InBCM_DM_ChangeModeFailureControllor()&amp;&amp;0x03==CANI_u8InBCM_DM_ChangeModeFailureReason()</t>
  </si>
  <si>
    <t>车轮打滑，禁止切换驾驶模式</t>
  </si>
  <si>
    <t>SlipSwitchDisableWrn</t>
  </si>
  <si>
    <t>0x04 == EEH_biGetTransmissionType()</t>
  </si>
  <si>
    <t>0x02==CANI_u8InBCM_DM_ChangeModeFailureControllor()&amp;&amp;0x04==CANI_u8InBCM_DM_ChangeModeFailureReason()</t>
  </si>
  <si>
    <t>EPS条件不满足，驾驶模式切换失败</t>
  </si>
  <si>
    <t>EPSSwitchDisableWrn</t>
  </si>
  <si>
    <t>0x05==CANI_u8InBCM_DM_ChangeModeFailureControllor()&amp;&amp;0x01==CANI_u8InBCM_DM_ChangeModeFailureReason()</t>
  </si>
  <si>
    <t>100</t>
  </si>
  <si>
    <t>0x02 == EEH_biGetHBB()</t>
  </si>
  <si>
    <t>True == CAN_boInESC_HHC_ErrorStatus()&amp;&amp;WRN__boESCReady</t>
  </si>
  <si>
    <t>0x03 == EEH_biGetCruise()||0x04 == EEH_biGetCruise()||0x01 == EEH_biGetAEB()||0x02 == EEH_biGetAEB()||0x03 == EEH_biGetAEB()</t>
  </si>
  <si>
    <t>0x02 == EEH_biGetSLIF()||0x02 == EEH_biGetIHBC()||0x02 == EEH_biGetLDW_LKS()||0x03 == EEH_biGetLDW_LKS()</t>
  </si>
  <si>
    <t xml:space="preserve">0x01 == CAN_u8InFCS_FCS_Status() </t>
  </si>
  <si>
    <t>0x02 == EEH_biGetCruise()||0x03 == EEH_biGetCruise()||0x04 == EEH_biGetCruise()</t>
  </si>
  <si>
    <t>(0x02 == WRN__u8CruiseType)?(WRN__boVCUEnable?(CAN_boInVCU_CruiseSwitchSts()&amp;&amp;0x02 == CAN_u8InVCU_CruiseControlSts()):(CAN_boInEMS_CruiseSwitchSts()&amp;&amp;0x02==CAN_u8InEMS_CruiseControlSts())):(0x05 == CAN_u8InFRS_ALOD_Status())</t>
  </si>
  <si>
    <t>0x01 == CAN_u8InVCU_ePTModReqRejt()||0x02 == CAN_u8InVCU_ePTModReqRejt()||0x03 == CAN_u8InVCU_ePTModReqRejt()||0x04 == CAN_u8InVCU_ePTModReqRejt()||0x05 == CAN_u8InVCU_ePTModReqRejt()</t>
  </si>
  <si>
    <t>WRN__u16ESPModeSwFailOnTime</t>
  </si>
  <si>
    <t>系统故障，自动切…</t>
  </si>
  <si>
    <t>变速器过热，禁止…</t>
  </si>
  <si>
    <t>变速器处于故障模…</t>
  </si>
  <si>
    <t>变速器处于高原模…</t>
  </si>
  <si>
    <t>车轮打滑，禁止切…</t>
  </si>
  <si>
    <t>EPS条件不满足，…</t>
  </si>
  <si>
    <t>无法进入EV模式</t>
  </si>
  <si>
    <t xml:space="preserve">Cannot enter into EV Mode </t>
  </si>
  <si>
    <t>Cannot enter into EV\nMode</t>
  </si>
  <si>
    <t>无法进入EV...</t>
  </si>
  <si>
    <t>Cannot enter into...</t>
  </si>
  <si>
    <t>warning_icon_84</t>
  </si>
  <si>
    <t>warning_icon_85</t>
  </si>
  <si>
    <t>warning_icon_86</t>
  </si>
  <si>
    <t>warning_icon_87</t>
  </si>
  <si>
    <t>warning_icon_88</t>
  </si>
  <si>
    <t>warning_icon_89</t>
  </si>
  <si>
    <t>warning_icon_68</t>
  </si>
  <si>
    <t>EPS条件不满足，驾驶模式切换\n失败</t>
  </si>
  <si>
    <t>变速器处于故障模式，禁止切换\n驾驶模式</t>
  </si>
  <si>
    <t>变速器处于高原模式，禁止切换\n驾驶模式</t>
  </si>
  <si>
    <t>warning_icon_65</t>
  </si>
  <si>
    <t>warning_icon_77</t>
  </si>
  <si>
    <t>warning_icon_73</t>
  </si>
  <si>
    <t>warning_icon_59</t>
  </si>
  <si>
    <t>warning_icon_13</t>
  </si>
  <si>
    <t>warning_icon_23</t>
  </si>
  <si>
    <t>warning_icon_47</t>
  </si>
  <si>
    <t>warning_icon_49</t>
  </si>
  <si>
    <t>warning_icon_90</t>
  </si>
  <si>
    <t>warning_icon_91</t>
  </si>
  <si>
    <t>warning_icon_92</t>
  </si>
  <si>
    <t>warning_icon_93</t>
  </si>
  <si>
    <t>warning_icon_94</t>
  </si>
  <si>
    <t>warning_icon_95</t>
  </si>
  <si>
    <t>warning_icon_96</t>
  </si>
  <si>
    <t>warning_icon_97</t>
  </si>
  <si>
    <t>warning_icon_98</t>
  </si>
  <si>
    <t>warning_icon_99</t>
  </si>
  <si>
    <t>warning_icon_100</t>
  </si>
  <si>
    <t>warning_icon_48</t>
  </si>
  <si>
    <t>Name</t>
    <phoneticPr fontId="73" type="noConversion"/>
  </si>
  <si>
    <t>Icon</t>
    <phoneticPr fontId="73" type="noConversion"/>
  </si>
  <si>
    <t>Color</t>
    <phoneticPr fontId="73" type="noConversion"/>
  </si>
  <si>
    <t>WRN ID
WRN_tenWarningID</t>
    <phoneticPr fontId="73" type="noConversion"/>
  </si>
  <si>
    <t>WRN Type</t>
    <phoneticPr fontId="73" type="noConversion"/>
  </si>
  <si>
    <t>Enable Condition</t>
    <phoneticPr fontId="73" type="noConversion"/>
  </si>
  <si>
    <t xml:space="preserve">变速箱故障指示(红) </t>
    <phoneticPr fontId="73" type="noConversion"/>
  </si>
  <si>
    <t xml:space="preserve">变速箱故障指示(黄) </t>
    <phoneticPr fontId="73" type="noConversion"/>
  </si>
  <si>
    <t>燃油表指示灯</t>
  </si>
  <si>
    <t>White</t>
  </si>
  <si>
    <t>FuelIcon</t>
  </si>
  <si>
    <t>机械钥匙未拔</t>
  </si>
  <si>
    <t>KeyInReminder</t>
  </si>
  <si>
    <t>False == EEH_boGetPEPS()</t>
  </si>
  <si>
    <t>0x01 == CAN_boInBCM_KeyInwithDrvDoorAjar()</t>
  </si>
  <si>
    <t>(0x01 != EEH_biGetVehicleVariant())</t>
  </si>
  <si>
    <t>保养提示：还有xxxKm需保养</t>
    <phoneticPr fontId="73" type="noConversion"/>
  </si>
  <si>
    <t>MaintainRemindWrn</t>
    <phoneticPr fontId="73" type="noConversion"/>
  </si>
  <si>
    <t>AUDM_nenLCDGong</t>
    <phoneticPr fontId="73" type="noConversion"/>
  </si>
  <si>
    <t>保养提示：请立即保养车辆</t>
    <phoneticPr fontId="73" type="noConversion"/>
  </si>
  <si>
    <t>MaintainVehicleWrn</t>
    <phoneticPr fontId="73" type="noConversion"/>
  </si>
  <si>
    <t>MaintainVehicleWrn</t>
  </si>
</sst>
</file>

<file path=xl/styles.xml><?xml version="1.0" encoding="utf-8"?>
<styleSheet xmlns="http://schemas.openxmlformats.org/spreadsheetml/2006/main">
  <numFmts count="29">
    <numFmt numFmtId="177" formatCode=";;"/>
    <numFmt numFmtId="178" formatCode=".00"/>
    <numFmt numFmtId="179" formatCode="#,##0&quot;%&quot;"/>
    <numFmt numFmtId="180" formatCode="&quot;₩&quot;#,##0.00;[Red]&quot;₩&quot;\-#,##0.00"/>
    <numFmt numFmtId="181" formatCode="#,##0.0&quot;%&quot;"/>
    <numFmt numFmtId="182" formatCode="&quot;?#,##0;\-&quot;&quot;?&quot;#,##0"/>
    <numFmt numFmtId="183" formatCode="_ * #,##0.00_ ;_ * &quot;₩&quot;&quot;₩&quot;&quot;₩&quot;&quot;₩&quot;&quot;₩&quot;&quot;₩&quot;&quot;₩&quot;&quot;₩&quot;&quot;₩&quot;&quot;₩&quot;\-#,##0.00_ ;_ * &quot;-&quot;??_ ;_ @_ "/>
    <numFmt numFmtId="184" formatCode="yy\.mm\.dd"/>
    <numFmt numFmtId="185" formatCode="_ &quot;₩&quot;* #,##0_ ;_ &quot;₩&quot;* \-#,##0_ ;_ &quot;₩&quot;* &quot;-&quot;_ ;_ @_ "/>
    <numFmt numFmtId="186" formatCode="_-&quot;₩&quot;* #,##0_-;\-&quot;₩&quot;* #,##0_-;_-&quot;₩&quot;* &quot;-&quot;_-;_-@_-"/>
    <numFmt numFmtId="187" formatCode="_ &quot;₩&quot;* #,##0.00_ ;_ &quot;₩&quot;* \-#,##0.00_ ;_ &quot;₩&quot;* &quot;-&quot;??_ ;_ @_ "/>
    <numFmt numFmtId="188" formatCode="_-&quot;₩&quot;* #,##0.00_-;\-&quot;₩&quot;* #,##0.00_-;_-&quot;₩&quot;* &quot;-&quot;??_-;_-@_-"/>
    <numFmt numFmtId="189" formatCode="_ * #,##0_ ;_ * \-#,##0_ ;_ * &quot;-&quot;_ ;_ @_ "/>
    <numFmt numFmtId="190" formatCode="_-* #,##0_-;\-* #,##0_-;_-* &quot;-&quot;_-;_-@_-"/>
    <numFmt numFmtId="191" formatCode="_ * #,##0.00_ ;_ * \-#,##0.00_ ;_ * &quot;-&quot;??_ ;_ @_ "/>
    <numFmt numFmtId="192" formatCode="_-* #,##0.00_-;\-* #,##0.00_-;_-* &quot;-&quot;??_-;_-@_-"/>
    <numFmt numFmtId="193" formatCode="&quot;₩&quot;#,##0.00;&quot;₩&quot;&quot;₩&quot;&quot;₩&quot;&quot;₩&quot;&quot;₩&quot;&quot;₩&quot;&quot;₩&quot;&quot;₩&quot;&quot;₩&quot;&quot;₩&quot;&quot;₩&quot;&quot;₩&quot;&quot;₩&quot;&quot;₩&quot;&quot;₩&quot;\-#,##0.00"/>
    <numFmt numFmtId="194" formatCode="_ &quot;₩&quot;* #,##0_ ;_ &quot;₩&quot;* &quot;₩&quot;&quot;₩&quot;&quot;₩&quot;&quot;₩&quot;&quot;₩&quot;&quot;₩&quot;&quot;₩&quot;&quot;₩&quot;&quot;₩&quot;&quot;₩&quot;&quot;₩&quot;&quot;₩&quot;&quot;₩&quot;&quot;₩&quot;\-#,##0_ ;_ &quot;₩&quot;* &quot;-&quot;_ ;_ @_ "/>
    <numFmt numFmtId="195" formatCode="_-[$€-2]* #,##0.00_-;\-[$€-2]* #,##0.00_-;_-[$€-2]* &quot;-&quot;??_-"/>
    <numFmt numFmtId="196" formatCode="&quot;₩&quot;#,##0.00;&quot;₩&quot;&quot;₩&quot;\-#,##0.00"/>
    <numFmt numFmtId="197" formatCode="000000"/>
    <numFmt numFmtId="198" formatCode="#,##0;[Red]&quot;△&quot;#,##0"/>
    <numFmt numFmtId="199" formatCode="_ * #,##0_ ;_ * &quot;₩&quot;&quot;₩&quot;&quot;₩&quot;&quot;₩&quot;&quot;₩&quot;&quot;₩&quot;&quot;₩&quot;&quot;₩&quot;\-#,##0_ ;_ * &quot;-&quot;_ ;_ @_ "/>
    <numFmt numFmtId="200" formatCode="#."/>
    <numFmt numFmtId="201" formatCode="#,##0.0"/>
    <numFmt numFmtId="202" formatCode="&quot;₩&quot;#,##0.00\ ;\(&quot;₩&quot;#,##0.00\)"/>
    <numFmt numFmtId="203" formatCode="&quot;₩&quot;#,##0;&quot;₩&quot;\-#,##0"/>
    <numFmt numFmtId="204" formatCode="_-&quot;$&quot;* #,##0_-;\-&quot;$&quot;* #,##0_-;_-&quot;$&quot;* &quot;-&quot;_-;_-@_-"/>
    <numFmt numFmtId="205" formatCode="_-&quot;$&quot;* #,##0.00_-;\-&quot;$&quot;* #,##0.00_-;_-&quot;$&quot;* &quot;-&quot;??_-;_-@_-"/>
  </numFmts>
  <fonts count="126">
    <font>
      <sz val="11"/>
      <name val="Arial"/>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11"/>
      <color theme="1"/>
      <name val="宋体"/>
      <family val="2"/>
      <scheme val="minor"/>
    </font>
    <font>
      <sz val="8"/>
      <name val="Arial"/>
      <family val="2"/>
    </font>
    <font>
      <b/>
      <sz val="11"/>
      <name val="Arial"/>
      <family val="2"/>
    </font>
    <font>
      <b/>
      <sz val="12"/>
      <name val="Arial"/>
      <family val="2"/>
    </font>
    <font>
      <sz val="10"/>
      <name val="Arial"/>
      <family val="2"/>
    </font>
    <font>
      <u/>
      <sz val="7.5"/>
      <color indexed="12"/>
      <name val="Arial"/>
      <family val="2"/>
    </font>
    <font>
      <sz val="12"/>
      <name val="Arial"/>
      <family val="2"/>
    </font>
    <font>
      <sz val="11"/>
      <name val="Arial"/>
      <family val="2"/>
    </font>
    <font>
      <sz val="11"/>
      <color theme="0" tint="-0.499984740745262"/>
      <name val="Arial"/>
      <family val="2"/>
    </font>
    <font>
      <sz val="9"/>
      <color indexed="81"/>
      <name val="Tahoma"/>
      <family val="2"/>
    </font>
    <font>
      <b/>
      <sz val="9"/>
      <color indexed="81"/>
      <name val="Tahoma"/>
      <family val="2"/>
    </font>
    <font>
      <sz val="11"/>
      <color rgb="FF00B0F0"/>
      <name val="Arial"/>
      <family val="2"/>
    </font>
    <font>
      <sz val="11"/>
      <color rgb="FFFF0000"/>
      <name val="Arial"/>
      <family val="2"/>
    </font>
    <font>
      <sz val="11"/>
      <color theme="1"/>
      <name val="Arial"/>
      <family val="2"/>
    </font>
    <font>
      <sz val="12"/>
      <name val="宋体"/>
      <family val="3"/>
      <charset val="134"/>
    </font>
    <font>
      <b/>
      <sz val="12"/>
      <name val="宋体"/>
      <family val="3"/>
      <charset val="134"/>
    </font>
    <font>
      <sz val="11"/>
      <color rgb="FFFF0000"/>
      <name val="宋体"/>
      <family val="2"/>
      <scheme val="minor"/>
    </font>
    <font>
      <sz val="11"/>
      <name val="Times New Roman"/>
      <family val="1"/>
    </font>
    <font>
      <sz val="12"/>
      <name val="바탕체"/>
      <family val="3"/>
      <charset val="129"/>
    </font>
    <font>
      <sz val="10"/>
      <name val="바탕체"/>
      <family val="3"/>
      <charset val="129"/>
    </font>
    <font>
      <sz val="11"/>
      <name val="돋움"/>
      <family val="2"/>
      <charset val="129"/>
    </font>
    <font>
      <sz val="12"/>
      <name val="¹UAAA¼"/>
      <family val="1"/>
      <charset val="129"/>
    </font>
    <font>
      <sz val="14"/>
      <name val="??"/>
      <family val="1"/>
    </font>
    <font>
      <sz val="11"/>
      <name val="??"/>
      <family val="1"/>
    </font>
    <font>
      <sz val="11"/>
      <name val="굴림체"/>
      <family val="3"/>
      <charset val="129"/>
    </font>
    <font>
      <b/>
      <sz val="10"/>
      <name val="MS Sans"/>
      <family val="2"/>
    </font>
    <font>
      <sz val="11"/>
      <name val="바탕체"/>
      <family val="3"/>
      <charset val="129"/>
    </font>
    <font>
      <sz val="12"/>
      <name val="굴림체"/>
      <family val="3"/>
      <charset val="129"/>
    </font>
    <font>
      <sz val="12"/>
      <name val="Times New Roman"/>
      <family val="1"/>
    </font>
    <font>
      <b/>
      <sz val="18"/>
      <color indexed="24"/>
      <name val="¹UAAA¼"/>
      <family val="1"/>
      <charset val="129"/>
    </font>
    <font>
      <b/>
      <sz val="15"/>
      <color indexed="24"/>
      <name val="¹UAAA¼"/>
      <family val="1"/>
      <charset val="129"/>
    </font>
    <font>
      <sz val="14"/>
      <name val="¾©"/>
      <family val="1"/>
      <charset val="129"/>
    </font>
    <font>
      <sz val="12"/>
      <name val="¾©"/>
      <family val="1"/>
      <charset val="129"/>
    </font>
    <font>
      <sz val="11"/>
      <name val="μ¸¿o"/>
      <family val="3"/>
      <charset val="129"/>
    </font>
    <font>
      <sz val="12"/>
      <name val="￥i￠￢￠?oA¨u"/>
      <family val="3"/>
      <charset val="129"/>
    </font>
    <font>
      <sz val="11"/>
      <name val="µ¸¿ò"/>
      <family val="3"/>
      <charset val="129"/>
    </font>
    <font>
      <sz val="12"/>
      <name val="¹ÙÅÁÃ¼"/>
      <family val="3"/>
      <charset val="129"/>
    </font>
    <font>
      <sz val="10"/>
      <name val="μ¸¿oA¼"/>
      <family val="3"/>
      <charset val="129"/>
    </font>
    <font>
      <sz val="12"/>
      <name val="μ¸¿oA¼"/>
      <family val="3"/>
      <charset val="129"/>
    </font>
    <font>
      <sz val="12"/>
      <name val="µ¸¿òÃ¼"/>
      <family val="3"/>
      <charset val="129"/>
    </font>
    <font>
      <sz val="10"/>
      <name val="µ¸¿òÃ¼"/>
      <family val="3"/>
      <charset val="129"/>
    </font>
    <font>
      <sz val="10"/>
      <name val="MS Sans Serif"/>
      <family val="2"/>
    </font>
    <font>
      <sz val="12"/>
      <name val="μ¸¿o"/>
      <family val="3"/>
      <charset val="129"/>
    </font>
    <font>
      <sz val="12"/>
      <name val="±¼¸²A¼"/>
      <family val="3"/>
      <charset val="129"/>
    </font>
    <font>
      <sz val="12"/>
      <name val="Tms Rmn"/>
      <family val="1"/>
    </font>
    <font>
      <sz val="8"/>
      <color indexed="20"/>
      <name val="Tahoma"/>
      <family val="2"/>
    </font>
    <font>
      <sz val="12"/>
      <color indexed="32"/>
      <name val="MIN 훈민08체"/>
      <family val="3"/>
      <charset val="129"/>
    </font>
    <font>
      <sz val="12"/>
      <name val="ⓒoUAAA¨u"/>
      <family val="1"/>
      <charset val="129"/>
    </font>
    <font>
      <sz val="14"/>
      <name val="±¼¸²Ã¼"/>
      <family val="3"/>
      <charset val="129"/>
    </font>
    <font>
      <sz val="10"/>
      <name val="¹ÙÅÁÃ¼"/>
      <family val="3"/>
      <charset val="129"/>
    </font>
    <font>
      <sz val="10"/>
      <name val="¹UAAA¼"/>
      <family val="1"/>
      <charset val="129"/>
    </font>
    <font>
      <sz val="10"/>
      <name val="±¼¸²A¼"/>
      <family val="3"/>
      <charset val="129"/>
    </font>
    <font>
      <sz val="10"/>
      <name val="Times New Roman Tur"/>
      <family val="1"/>
      <charset val="162"/>
    </font>
    <font>
      <sz val="9"/>
      <name val="±¼¸²Ã¼"/>
      <family val="3"/>
      <charset val="129"/>
    </font>
    <font>
      <sz val="9"/>
      <name val="±¼¸²A¼"/>
      <family val="3"/>
      <charset val="129"/>
    </font>
    <font>
      <sz val="12"/>
      <name val="±¼¸²Ã¼"/>
      <family val="3"/>
      <charset val="129"/>
    </font>
    <font>
      <sz val="8"/>
      <name val="¹UAAA¼"/>
      <family val="1"/>
      <charset val="129"/>
    </font>
    <font>
      <sz val="11"/>
      <name val="μ¸¿oA¼"/>
      <family val="3"/>
      <charset val="129"/>
    </font>
    <font>
      <sz val="11"/>
      <name val="µ¸¿òÃ¼"/>
      <family val="3"/>
      <charset val="129"/>
    </font>
    <font>
      <sz val="11"/>
      <name val="±¼¸²A¼"/>
      <family val="3"/>
      <charset val="129"/>
    </font>
    <font>
      <sz val="12"/>
      <name val="¸íÁ¶"/>
      <family val="3"/>
      <charset val="129"/>
    </font>
    <font>
      <sz val="12"/>
      <name val="System"/>
      <family val="2"/>
    </font>
    <font>
      <b/>
      <sz val="10"/>
      <name val="Helv"/>
      <family val="2"/>
    </font>
    <font>
      <i/>
      <sz val="8"/>
      <color indexed="10"/>
      <name val="Tahoma"/>
      <family val="2"/>
    </font>
    <font>
      <sz val="10"/>
      <name val="Helv"/>
      <family val="2"/>
    </font>
    <font>
      <sz val="8"/>
      <name val="Times New Roman"/>
      <family val="1"/>
    </font>
    <font>
      <sz val="8"/>
      <color indexed="19"/>
      <name val="Tahoma"/>
      <family val="2"/>
    </font>
    <font>
      <i/>
      <sz val="8"/>
      <color indexed="11"/>
      <name val="Tahoma"/>
      <family val="2"/>
    </font>
    <font>
      <i/>
      <sz val="8"/>
      <color indexed="12"/>
      <name val="Tahoma"/>
      <family val="2"/>
    </font>
    <font>
      <b/>
      <sz val="12"/>
      <name val="Helv"/>
      <family val="2"/>
    </font>
    <font>
      <sz val="8"/>
      <color indexed="8"/>
      <name val="Tahoma"/>
      <family val="2"/>
    </font>
    <font>
      <b/>
      <sz val="11"/>
      <name val="Helv"/>
      <family val="2"/>
    </font>
    <font>
      <sz val="7"/>
      <name val="Small Fonts"/>
      <family val="2"/>
    </font>
    <font>
      <sz val="10"/>
      <color indexed="8"/>
      <name val="Arial"/>
      <family val="2"/>
    </font>
    <font>
      <sz val="14"/>
      <name val="뼻뮝"/>
      <family val="3"/>
      <charset val="129"/>
    </font>
    <font>
      <i/>
      <sz val="8"/>
      <color indexed="23"/>
      <name val="Tahoma"/>
      <family val="2"/>
    </font>
    <font>
      <sz val="8"/>
      <name val="Tahoma"/>
      <family val="2"/>
    </font>
    <font>
      <sz val="12"/>
      <color indexed="32"/>
      <name val="모음디"/>
      <family val="1"/>
      <charset val="129"/>
    </font>
    <font>
      <sz val="8"/>
      <color indexed="18"/>
      <name val="Tahoma"/>
      <family val="2"/>
    </font>
    <font>
      <i/>
      <sz val="8"/>
      <color indexed="8"/>
      <name val="Tahoma"/>
      <family val="2"/>
    </font>
    <font>
      <sz val="12"/>
      <color indexed="24"/>
      <name val="바탕체"/>
      <family val="3"/>
      <charset val="129"/>
    </font>
    <font>
      <b/>
      <sz val="18"/>
      <color indexed="24"/>
      <name val="바탕체"/>
      <family val="3"/>
      <charset val="129"/>
    </font>
    <font>
      <b/>
      <sz val="15"/>
      <color indexed="24"/>
      <name val="바탕체"/>
      <family val="3"/>
      <charset val="129"/>
    </font>
    <font>
      <sz val="10"/>
      <name val="돋움체"/>
      <family val="3"/>
      <charset val="129"/>
    </font>
    <font>
      <u/>
      <sz val="11"/>
      <color indexed="20"/>
      <name val="돋움"/>
      <family val="2"/>
      <charset val="129"/>
    </font>
    <font>
      <sz val="14"/>
      <name val="뼥?ⓒ"/>
      <family val="3"/>
      <charset val="129"/>
    </font>
    <font>
      <sz val="1"/>
      <color indexed="0"/>
      <name val="Courier"/>
      <family val="3"/>
    </font>
    <font>
      <sz val="12"/>
      <name val="뼻뮝"/>
      <family val="3"/>
      <charset val="129"/>
    </font>
    <font>
      <b/>
      <sz val="13"/>
      <name val="굴림체"/>
      <family val="3"/>
      <charset val="129"/>
    </font>
    <font>
      <b/>
      <sz val="16"/>
      <name val="돋움체"/>
      <family val="3"/>
      <charset val="129"/>
    </font>
    <font>
      <b/>
      <sz val="12"/>
      <name val="돋움체"/>
      <family val="3"/>
      <charset val="129"/>
    </font>
    <font>
      <sz val="12"/>
      <name val="新細明體"/>
      <family val="1"/>
    </font>
    <font>
      <sz val="12"/>
      <name val="돋움"/>
      <family val="2"/>
      <charset val="129"/>
    </font>
    <font>
      <sz val="11"/>
      <color theme="1"/>
      <name val="宋体"/>
      <family val="2"/>
      <charset val="134"/>
      <scheme val="minor"/>
    </font>
    <font>
      <sz val="11"/>
      <color theme="1"/>
      <name val="宋体"/>
      <family val="3"/>
      <charset val="134"/>
    </font>
    <font>
      <b/>
      <sz val="16"/>
      <name val="Arial"/>
      <family val="2"/>
    </font>
    <font>
      <sz val="16"/>
      <name val="Arial"/>
      <family val="2"/>
    </font>
    <font>
      <b/>
      <sz val="16"/>
      <color theme="8" tint="-0.249977111117893"/>
      <name val="Arial"/>
      <family val="2"/>
    </font>
    <font>
      <sz val="11"/>
      <color theme="8" tint="-0.249977111117893"/>
      <name val="Arial"/>
      <family val="2"/>
    </font>
    <font>
      <sz val="11"/>
      <color indexed="8"/>
      <name val="Times New Roman"/>
      <family val="1"/>
    </font>
    <font>
      <sz val="11"/>
      <color theme="1"/>
      <name val="宋体"/>
      <family val="2"/>
      <scheme val="minor"/>
    </font>
    <font>
      <b/>
      <sz val="11"/>
      <color theme="1"/>
      <name val="宋体"/>
      <family val="2"/>
      <scheme val="minor"/>
    </font>
    <font>
      <sz val="11"/>
      <color rgb="FFFF0000"/>
      <name val="宋体"/>
      <family val="2"/>
      <scheme val="minor"/>
    </font>
    <font>
      <sz val="11"/>
      <name val="宋体"/>
      <family val="2"/>
      <scheme val="minor"/>
    </font>
    <font>
      <sz val="11"/>
      <color theme="1"/>
      <name val="SimSun"/>
      <charset val="134"/>
    </font>
    <font>
      <sz val="9"/>
      <name val="宋体"/>
      <family val="3"/>
      <charset val="134"/>
    </font>
  </fonts>
  <fills count="17">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rgb="FFF8F8F8"/>
        <bgColor indexed="64"/>
      </patternFill>
    </fill>
    <fill>
      <patternFill patternType="solid">
        <fgColor rgb="FF99CCFF"/>
        <bgColor indexed="64"/>
      </patternFill>
    </fill>
    <fill>
      <patternFill patternType="solid">
        <fgColor rgb="FFFFFF00"/>
        <bgColor indexed="64"/>
      </patternFill>
    </fill>
    <fill>
      <patternFill patternType="gray0625">
        <fgColor indexed="15"/>
      </patternFill>
    </fill>
    <fill>
      <patternFill patternType="solid">
        <fgColor indexed="65"/>
        <bgColor indexed="64"/>
      </patternFill>
    </fill>
    <fill>
      <patternFill patternType="gray0625">
        <fgColor indexed="13"/>
      </patternFill>
    </fill>
    <fill>
      <patternFill patternType="solid">
        <fgColor indexed="22"/>
        <bgColor indexed="25"/>
      </patternFill>
    </fill>
    <fill>
      <patternFill patternType="solid">
        <fgColor indexed="43"/>
        <bgColor indexed="64"/>
      </patternFill>
    </fill>
    <fill>
      <patternFill patternType="solid">
        <fgColor rgb="FF92D050"/>
        <bgColor indexed="64"/>
      </patternFill>
    </fill>
    <fill>
      <patternFill patternType="solid">
        <fgColor rgb="FFFF0000"/>
        <bgColor indexed="64"/>
      </patternFill>
    </fill>
    <fill>
      <patternFill patternType="solid">
        <fgColor theme="6"/>
        <bgColor indexed="64"/>
      </patternFill>
    </fill>
    <fill>
      <patternFill patternType="solid">
        <fgColor rgb="FF00B050"/>
        <bgColor indexed="64"/>
      </patternFill>
    </fill>
  </fills>
  <borders count="13">
    <border>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thin">
        <color indexed="64"/>
      </bottom>
      <diagonal/>
    </border>
    <border>
      <left/>
      <right style="thin">
        <color indexed="8"/>
      </right>
      <top/>
      <bottom/>
      <diagonal/>
    </border>
    <border>
      <left style="hair">
        <color indexed="23"/>
      </left>
      <right style="hair">
        <color indexed="23"/>
      </right>
      <top style="hair">
        <color indexed="23"/>
      </top>
      <bottom style="hair">
        <color indexed="23"/>
      </bottom>
      <diagonal/>
    </border>
    <border>
      <left style="double">
        <color indexed="64"/>
      </left>
      <right style="hair">
        <color indexed="64"/>
      </right>
      <top style="thin">
        <color indexed="64"/>
      </top>
      <bottom style="hair">
        <color indexed="64"/>
      </bottom>
      <diagonal/>
    </border>
    <border>
      <left/>
      <right/>
      <top style="double">
        <color indexed="64"/>
      </top>
      <bottom/>
      <diagonal/>
    </border>
  </borders>
  <cellStyleXfs count="1069">
    <xf numFmtId="0" fontId="0" fillId="0" borderId="0"/>
    <xf numFmtId="0" fontId="25" fillId="0" borderId="0" applyNumberFormat="0" applyFill="0" applyBorder="0" applyAlignment="0" applyProtection="0">
      <alignment vertical="top"/>
      <protection locked="0"/>
    </xf>
    <xf numFmtId="0" fontId="24" fillId="0" borderId="0"/>
    <xf numFmtId="0" fontId="27" fillId="0" borderId="0"/>
    <xf numFmtId="0" fontId="34" fillId="0" borderId="0">
      <alignment vertical="center"/>
    </xf>
    <xf numFmtId="0" fontId="20" fillId="0" borderId="0"/>
    <xf numFmtId="0" fontId="19" fillId="0" borderId="0"/>
    <xf numFmtId="0" fontId="38" fillId="0" borderId="0"/>
    <xf numFmtId="0" fontId="39" fillId="0" borderId="0"/>
    <xf numFmtId="0" fontId="39" fillId="0" borderId="0"/>
    <xf numFmtId="0" fontId="39" fillId="0" borderId="0"/>
    <xf numFmtId="0" fontId="39" fillId="0" borderId="0"/>
    <xf numFmtId="0" fontId="39" fillId="0" borderId="0"/>
    <xf numFmtId="0" fontId="24" fillId="0" borderId="0"/>
    <xf numFmtId="0" fontId="24" fillId="0" borderId="0"/>
    <xf numFmtId="0" fontId="24"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xf numFmtId="0" fontId="38" fillId="0" borderId="0"/>
    <xf numFmtId="0" fontId="38" fillId="0" borderId="0"/>
    <xf numFmtId="0" fontId="38" fillId="0" borderId="0"/>
    <xf numFmtId="0" fontId="38" fillId="0" borderId="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40" fillId="0" borderId="0" applyFont="0" applyFill="0" applyBorder="0" applyAlignment="0" applyProtection="0"/>
    <xf numFmtId="0" fontId="41" fillId="0" borderId="0"/>
    <xf numFmtId="0" fontId="41" fillId="0" borderId="0"/>
    <xf numFmtId="0" fontId="41"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41" fillId="0" borderId="0"/>
    <xf numFmtId="40" fontId="42" fillId="0" borderId="0" applyFont="0" applyFill="0" applyBorder="0" applyAlignment="0" applyProtection="0"/>
    <xf numFmtId="38" fontId="42" fillId="0" borderId="0" applyFont="0" applyFill="0" applyBorder="0" applyAlignment="0" applyProtection="0"/>
    <xf numFmtId="0" fontId="43" fillId="0" borderId="0"/>
    <xf numFmtId="0" fontId="24" fillId="0" borderId="0"/>
    <xf numFmtId="0" fontId="24" fillId="0" borderId="0"/>
    <xf numFmtId="0" fontId="24" fillId="0" borderId="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xf numFmtId="0" fontId="38" fillId="0" borderId="0"/>
    <xf numFmtId="0" fontId="38" fillId="0" borderId="0"/>
    <xf numFmtId="0" fontId="38" fillId="0" borderId="0"/>
    <xf numFmtId="0" fontId="38" fillId="0" borderId="0"/>
    <xf numFmtId="0" fontId="4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24" fillId="0" borderId="0"/>
    <xf numFmtId="0" fontId="24" fillId="0" borderId="0"/>
    <xf numFmtId="0" fontId="24" fillId="0" borderId="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24" fillId="0" borderId="0"/>
    <xf numFmtId="0" fontId="24" fillId="0" borderId="0"/>
    <xf numFmtId="0" fontId="24" fillId="0" borderId="0"/>
    <xf numFmtId="178" fontId="40" fillId="0" borderId="0" applyFont="0" applyFill="0" applyBorder="0" applyAlignment="0" applyProtection="0"/>
    <xf numFmtId="178" fontId="40" fillId="0" borderId="0" applyFont="0" applyFill="0" applyBorder="0" applyAlignment="0" applyProtection="0"/>
    <xf numFmtId="178" fontId="40" fillId="0" borderId="0" applyFont="0" applyFill="0" applyBorder="0" applyAlignment="0" applyProtection="0"/>
    <xf numFmtId="178" fontId="40" fillId="0" borderId="0" applyFont="0" applyFill="0" applyBorder="0" applyAlignment="0" applyProtection="0"/>
    <xf numFmtId="178" fontId="40" fillId="0" borderId="0" applyFont="0" applyFill="0" applyBorder="0" applyAlignment="0" applyProtection="0"/>
    <xf numFmtId="179" fontId="40" fillId="0" borderId="0" applyFont="0" applyFill="0" applyBorder="0" applyAlignment="0" applyProtection="0"/>
    <xf numFmtId="179" fontId="40" fillId="0" borderId="0" applyFont="0" applyFill="0" applyBorder="0" applyAlignment="0" applyProtection="0"/>
    <xf numFmtId="179" fontId="40" fillId="0" borderId="0" applyFont="0" applyFill="0" applyBorder="0" applyAlignment="0" applyProtection="0"/>
    <xf numFmtId="179" fontId="40" fillId="0" borderId="0" applyFont="0" applyFill="0" applyBorder="0" applyAlignment="0" applyProtection="0"/>
    <xf numFmtId="179" fontId="40" fillId="0" borderId="0" applyFont="0" applyFill="0" applyBorder="0" applyAlignment="0" applyProtection="0"/>
    <xf numFmtId="180" fontId="46" fillId="0" borderId="0" applyFont="0" applyFill="0" applyBorder="0" applyAlignment="0" applyProtection="0"/>
    <xf numFmtId="180" fontId="46" fillId="0" borderId="0" applyFont="0" applyFill="0" applyBorder="0" applyAlignment="0" applyProtection="0"/>
    <xf numFmtId="180" fontId="46" fillId="0" borderId="0" applyFont="0" applyFill="0" applyBorder="0" applyAlignment="0" applyProtection="0"/>
    <xf numFmtId="180" fontId="46" fillId="0" borderId="0" applyFont="0" applyFill="0" applyBorder="0" applyAlignment="0" applyProtection="0"/>
    <xf numFmtId="180" fontId="46" fillId="0" borderId="0" applyFont="0" applyFill="0" applyBorder="0" applyAlignment="0" applyProtection="0"/>
    <xf numFmtId="181" fontId="40" fillId="0" borderId="0" applyFont="0" applyFill="0" applyBorder="0" applyAlignment="0" applyProtection="0"/>
    <xf numFmtId="181" fontId="40" fillId="0" borderId="0" applyFont="0" applyFill="0" applyBorder="0" applyAlignment="0" applyProtection="0"/>
    <xf numFmtId="181" fontId="40" fillId="0" borderId="0" applyFont="0" applyFill="0" applyBorder="0" applyAlignment="0" applyProtection="0"/>
    <xf numFmtId="181" fontId="40" fillId="0" borderId="0" applyFont="0" applyFill="0" applyBorder="0" applyAlignment="0" applyProtection="0"/>
    <xf numFmtId="181" fontId="40" fillId="0" borderId="0" applyFont="0" applyFill="0" applyBorder="0" applyAlignment="0" applyProtection="0"/>
    <xf numFmtId="182" fontId="46" fillId="0" borderId="0" applyFont="0" applyFill="0" applyBorder="0" applyAlignment="0" applyProtection="0"/>
    <xf numFmtId="182" fontId="46" fillId="0" borderId="0" applyFont="0" applyFill="0" applyBorder="0" applyAlignment="0" applyProtection="0"/>
    <xf numFmtId="182" fontId="46" fillId="0" borderId="0" applyFont="0" applyFill="0" applyBorder="0" applyAlignment="0" applyProtection="0"/>
    <xf numFmtId="182" fontId="46" fillId="0" borderId="0" applyFont="0" applyFill="0" applyBorder="0" applyAlignment="0" applyProtection="0"/>
    <xf numFmtId="182" fontId="46"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0" fontId="24" fillId="0" borderId="0"/>
    <xf numFmtId="0" fontId="24" fillId="0" borderId="0"/>
    <xf numFmtId="0" fontId="24" fillId="0" borderId="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47"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83" fontId="40" fillId="0" borderId="0" applyFont="0" applyFill="0" applyBorder="0" applyAlignment="0" applyProtection="0"/>
    <xf numFmtId="183" fontId="40" fillId="0" borderId="0" applyFont="0" applyFill="0" applyBorder="0" applyAlignment="0" applyProtection="0"/>
    <xf numFmtId="183" fontId="40" fillId="0" borderId="0" applyFont="0" applyFill="0" applyBorder="0" applyAlignment="0" applyProtection="0"/>
    <xf numFmtId="183" fontId="40" fillId="0" borderId="0" applyFont="0" applyFill="0" applyBorder="0" applyAlignment="0" applyProtection="0"/>
    <xf numFmtId="183" fontId="40" fillId="0" borderId="0" applyFont="0" applyFill="0" applyBorder="0" applyAlignment="0" applyProtection="0"/>
    <xf numFmtId="183" fontId="40" fillId="0" borderId="0" applyFont="0" applyFill="0" applyBorder="0" applyAlignment="0" applyProtection="0"/>
    <xf numFmtId="183" fontId="40" fillId="0" borderId="0" applyFont="0" applyFill="0" applyBorder="0" applyAlignment="0" applyProtection="0"/>
    <xf numFmtId="183" fontId="40" fillId="0" borderId="0" applyFont="0" applyFill="0" applyBorder="0" applyAlignment="0" applyProtection="0"/>
    <xf numFmtId="183" fontId="40" fillId="0" borderId="0" applyFont="0" applyFill="0" applyBorder="0" applyAlignment="0" applyProtection="0"/>
    <xf numFmtId="183" fontId="40" fillId="0" borderId="0" applyFont="0" applyFill="0" applyBorder="0" applyAlignment="0" applyProtection="0"/>
    <xf numFmtId="0" fontId="48" fillId="0" borderId="0"/>
    <xf numFmtId="0" fontId="49" fillId="0" borderId="0" applyNumberFormat="0" applyFill="0" applyBorder="0" applyAlignment="0" applyProtection="0"/>
    <xf numFmtId="0" fontId="50" fillId="0" borderId="0" applyNumberFormat="0" applyFill="0" applyBorder="0" applyAlignment="0" applyProtection="0"/>
    <xf numFmtId="40" fontId="51" fillId="0" borderId="0" applyFont="0" applyFill="0" applyBorder="0" applyAlignment="0" applyProtection="0"/>
    <xf numFmtId="38" fontId="51" fillId="0" borderId="0" applyFont="0" applyFill="0" applyBorder="0" applyAlignment="0" applyProtection="0"/>
    <xf numFmtId="0" fontId="51" fillId="0" borderId="0" applyFont="0" applyFill="0" applyBorder="0" applyAlignment="0" applyProtection="0"/>
    <xf numFmtId="0" fontId="51" fillId="0" borderId="0" applyFont="0" applyFill="0" applyBorder="0" applyAlignment="0" applyProtection="0"/>
    <xf numFmtId="0" fontId="52" fillId="0" borderId="0"/>
    <xf numFmtId="0" fontId="24" fillId="0" borderId="0"/>
    <xf numFmtId="0" fontId="24" fillId="0" borderId="0"/>
    <xf numFmtId="0" fontId="24" fillId="0" borderId="0"/>
    <xf numFmtId="0" fontId="53" fillId="0" borderId="0" applyFont="0" applyFill="0" applyBorder="0" applyAlignment="0" applyProtection="0"/>
    <xf numFmtId="9" fontId="41"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184" fontId="38" fillId="0" borderId="0">
      <alignment vertical="center"/>
    </xf>
    <xf numFmtId="184" fontId="38" fillId="0" borderId="0">
      <alignment vertical="center"/>
    </xf>
    <xf numFmtId="184" fontId="38" fillId="0" borderId="0">
      <alignment vertical="center"/>
    </xf>
    <xf numFmtId="184" fontId="38" fillId="0" borderId="0">
      <alignment vertical="center"/>
    </xf>
    <xf numFmtId="184" fontId="38" fillId="0" borderId="0">
      <alignment vertical="center"/>
    </xf>
    <xf numFmtId="0" fontId="54" fillId="0" borderId="0" applyFont="0" applyFill="0" applyBorder="0" applyAlignment="0" applyProtection="0"/>
    <xf numFmtId="0" fontId="54"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185" fontId="41" fillId="0" borderId="0" applyFont="0" applyFill="0" applyBorder="0" applyAlignment="0" applyProtection="0"/>
    <xf numFmtId="185" fontId="56" fillId="0" borderId="0" applyFont="0" applyFill="0" applyBorder="0" applyAlignment="0" applyProtection="0"/>
    <xf numFmtId="185" fontId="57" fillId="0" borderId="0" applyFont="0" applyFill="0" applyBorder="0" applyAlignment="0" applyProtection="0"/>
    <xf numFmtId="0" fontId="56" fillId="0" borderId="0" applyFont="0" applyFill="0" applyBorder="0" applyAlignment="0" applyProtection="0"/>
    <xf numFmtId="186"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8"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9"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41"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187" fontId="41" fillId="0" borderId="0" applyFont="0" applyFill="0" applyBorder="0" applyAlignment="0" applyProtection="0"/>
    <xf numFmtId="187" fontId="56" fillId="0" borderId="0" applyFont="0" applyFill="0" applyBorder="0" applyAlignment="0" applyProtection="0"/>
    <xf numFmtId="187" fontId="57" fillId="0" borderId="0" applyFont="0" applyFill="0" applyBorder="0" applyAlignment="0" applyProtection="0"/>
    <xf numFmtId="0" fontId="56" fillId="0" borderId="0" applyFont="0" applyFill="0" applyBorder="0" applyAlignment="0" applyProtection="0"/>
    <xf numFmtId="188" fontId="53" fillId="0" borderId="0" applyFont="0" applyFill="0" applyBorder="0" applyAlignment="0" applyProtection="0"/>
    <xf numFmtId="0" fontId="59"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8"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38"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9"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7" fillId="0" borderId="0" applyFont="0" applyFill="0" applyBorder="0" applyAlignment="0" applyProtection="0"/>
    <xf numFmtId="0" fontId="60" fillId="0" borderId="0" applyFont="0" applyFill="0" applyBorder="0" applyAlignment="0" applyProtection="0"/>
    <xf numFmtId="0" fontId="41" fillId="0" borderId="0" applyFont="0" applyFill="0" applyBorder="0" applyAlignment="0" applyProtection="0"/>
    <xf numFmtId="0" fontId="54" fillId="0" borderId="0" applyFont="0" applyFill="0" applyBorder="0" applyAlignment="0" applyProtection="0"/>
    <xf numFmtId="0" fontId="54" fillId="0" borderId="0" applyFont="0" applyFill="0" applyBorder="0" applyAlignment="0" applyProtection="0"/>
    <xf numFmtId="0" fontId="61" fillId="0" borderId="0"/>
    <xf numFmtId="0" fontId="53" fillId="0" borderId="0" applyFont="0" applyFill="0" applyBorder="0" applyAlignment="0" applyProtection="0"/>
    <xf numFmtId="0" fontId="55" fillId="0" borderId="0" applyFont="0" applyFill="0" applyBorder="0" applyAlignment="0" applyProtection="0"/>
    <xf numFmtId="189" fontId="41" fillId="0" borderId="0" applyFont="0" applyFill="0" applyBorder="0" applyAlignment="0" applyProtection="0"/>
    <xf numFmtId="189" fontId="56" fillId="0" borderId="0" applyFont="0" applyFill="0" applyBorder="0" applyAlignment="0" applyProtection="0"/>
    <xf numFmtId="189" fontId="57" fillId="0" borderId="0" applyFont="0" applyFill="0" applyBorder="0" applyAlignment="0" applyProtection="0"/>
    <xf numFmtId="0" fontId="56" fillId="0" borderId="0" applyFont="0" applyFill="0" applyBorder="0" applyAlignment="0" applyProtection="0"/>
    <xf numFmtId="190" fontId="53"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6" fillId="0" borderId="0" applyFont="0" applyFill="0" applyBorder="0" applyAlignment="0"/>
    <xf numFmtId="0" fontId="41" fillId="0" borderId="0" applyFont="0" applyFill="0" applyBorder="0" applyAlignment="0"/>
    <xf numFmtId="0" fontId="55"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62"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60" fillId="0" borderId="0" applyFont="0" applyFill="0" applyBorder="0" applyAlignment="0" applyProtection="0"/>
    <xf numFmtId="0" fontId="24"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9"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41" fillId="0" borderId="0" applyFont="0" applyFill="0" applyBorder="0" applyAlignment="0" applyProtection="0"/>
    <xf numFmtId="0" fontId="63"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191" fontId="41" fillId="0" borderId="0" applyFont="0" applyFill="0" applyBorder="0" applyAlignment="0" applyProtection="0"/>
    <xf numFmtId="191" fontId="56" fillId="0" borderId="0" applyFont="0" applyFill="0" applyBorder="0" applyAlignment="0" applyProtection="0"/>
    <xf numFmtId="191" fontId="57" fillId="0" borderId="0" applyFont="0" applyFill="0" applyBorder="0" applyAlignment="0" applyProtection="0"/>
    <xf numFmtId="0" fontId="56" fillId="0" borderId="0" applyFont="0" applyFill="0" applyBorder="0" applyAlignment="0" applyProtection="0"/>
    <xf numFmtId="192" fontId="53"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6" fillId="0" borderId="0" applyFont="0" applyFill="0" applyBorder="0" applyAlignment="0" applyProtection="0"/>
    <xf numFmtId="0" fontId="41" fillId="0" borderId="0" applyFont="0" applyFill="0" applyBorder="0" applyAlignment="0" applyProtection="0"/>
    <xf numFmtId="0" fontId="60" fillId="0" borderId="0" applyFont="0" applyFill="0" applyBorder="0" applyAlignment="0" applyProtection="0"/>
    <xf numFmtId="0" fontId="24" fillId="0" borderId="0" applyFont="0" applyFill="0" applyBorder="0" applyAlignment="0" applyProtection="0"/>
    <xf numFmtId="0" fontId="55" fillId="0" borderId="0" applyFont="0" applyFill="0" applyBorder="0" applyAlignment="0" applyProtection="0"/>
    <xf numFmtId="0" fontId="53" fillId="0" borderId="0" applyFont="0" applyFill="0" applyBorder="0" applyAlignment="0" applyProtection="0"/>
    <xf numFmtId="0" fontId="59"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3" fillId="0" borderId="0" applyFont="0" applyFill="0" applyBorder="0" applyAlignment="0" applyProtection="0"/>
    <xf numFmtId="0" fontId="55" fillId="0" borderId="0" applyFont="0" applyFill="0" applyBorder="0" applyAlignment="0" applyProtection="0"/>
    <xf numFmtId="0" fontId="41" fillId="0" borderId="0" applyFont="0" applyFill="0" applyBorder="0" applyAlignment="0" applyProtection="0"/>
    <xf numFmtId="0" fontId="56" fillId="0" borderId="0" applyFont="0" applyFill="0" applyBorder="0" applyAlignment="0" applyProtection="0"/>
    <xf numFmtId="0" fontId="58" fillId="0" borderId="0" applyFont="0" applyFill="0" applyBorder="0" applyAlignment="0" applyProtection="0"/>
    <xf numFmtId="0" fontId="59" fillId="0" borderId="0" applyFont="0" applyFill="0" applyBorder="0" applyAlignment="0" applyProtection="0"/>
    <xf numFmtId="0" fontId="57" fillId="0" borderId="0" applyFont="0" applyFill="0" applyBorder="0" applyAlignment="0" applyProtection="0"/>
    <xf numFmtId="0" fontId="60" fillId="0" borderId="0" applyFont="0" applyFill="0" applyBorder="0" applyAlignment="0" applyProtection="0"/>
    <xf numFmtId="0" fontId="41" fillId="0" borderId="0" applyFont="0" applyFill="0" applyBorder="0" applyAlignment="0" applyProtection="0"/>
    <xf numFmtId="0" fontId="64" fillId="0" borderId="0" applyNumberFormat="0" applyFill="0" applyBorder="0" applyAlignment="0" applyProtection="0"/>
    <xf numFmtId="0" fontId="48" fillId="0" borderId="3">
      <alignment horizontal="center" vertical="center" wrapText="1"/>
    </xf>
    <xf numFmtId="0" fontId="65" fillId="0" borderId="0" applyNumberFormat="0" applyFill="0" applyBorder="0" applyProtection="0">
      <alignment horizontal="left"/>
    </xf>
    <xf numFmtId="0" fontId="66" fillId="8" borderId="4">
      <alignment horizontal="center" vertical="center"/>
    </xf>
    <xf numFmtId="0" fontId="67" fillId="0" borderId="0"/>
    <xf numFmtId="0" fontId="63" fillId="0" borderId="0"/>
    <xf numFmtId="0" fontId="56" fillId="0" borderId="0"/>
    <xf numFmtId="0" fontId="41" fillId="0" borderId="0"/>
    <xf numFmtId="0" fontId="56" fillId="0" borderId="0"/>
    <xf numFmtId="0" fontId="57" fillId="0" borderId="0"/>
    <xf numFmtId="0" fontId="68" fillId="0" borderId="0">
      <alignment vertical="center"/>
    </xf>
    <xf numFmtId="0" fontId="58" fillId="0" borderId="0"/>
    <xf numFmtId="0" fontId="56" fillId="0" borderId="0"/>
    <xf numFmtId="0" fontId="41" fillId="0" borderId="0"/>
    <xf numFmtId="0" fontId="56" fillId="0" borderId="0"/>
    <xf numFmtId="0" fontId="53" fillId="0" borderId="0"/>
    <xf numFmtId="0" fontId="55" fillId="0" borderId="0"/>
    <xf numFmtId="0" fontId="41" fillId="0" borderId="0"/>
    <xf numFmtId="0" fontId="56" fillId="0" borderId="0"/>
    <xf numFmtId="0" fontId="41" fillId="0" borderId="0"/>
    <xf numFmtId="0" fontId="69" fillId="0" borderId="0"/>
    <xf numFmtId="0" fontId="70" fillId="0" borderId="0"/>
    <xf numFmtId="0" fontId="69" fillId="0" borderId="0"/>
    <xf numFmtId="0" fontId="53" fillId="0" borderId="0"/>
    <xf numFmtId="0" fontId="59" fillId="0" borderId="0"/>
    <xf numFmtId="0" fontId="58" fillId="0" borderId="0"/>
    <xf numFmtId="0" fontId="56" fillId="0" borderId="0"/>
    <xf numFmtId="0" fontId="41" fillId="0" borderId="0"/>
    <xf numFmtId="0" fontId="55" fillId="0" borderId="0"/>
    <xf numFmtId="0" fontId="53" fillId="0" borderId="0"/>
    <xf numFmtId="0" fontId="55" fillId="0" borderId="0"/>
    <xf numFmtId="0" fontId="24" fillId="0" borderId="0"/>
    <xf numFmtId="0" fontId="59" fillId="0" borderId="0"/>
    <xf numFmtId="0" fontId="58" fillId="0" borderId="0"/>
    <xf numFmtId="0" fontId="56" fillId="0" borderId="0"/>
    <xf numFmtId="0" fontId="41" fillId="0" borderId="0"/>
    <xf numFmtId="0" fontId="56" fillId="0" borderId="0"/>
    <xf numFmtId="0" fontId="71" fillId="0" borderId="0"/>
    <xf numFmtId="0" fontId="55" fillId="0" borderId="0"/>
    <xf numFmtId="0" fontId="58" fillId="0" borderId="0"/>
    <xf numFmtId="0" fontId="59" fillId="0" borderId="0"/>
    <xf numFmtId="0" fontId="41" fillId="0" borderId="0"/>
    <xf numFmtId="0" fontId="56" fillId="0" borderId="0"/>
    <xf numFmtId="0" fontId="41" fillId="0" borderId="0"/>
    <xf numFmtId="0" fontId="72" fillId="0" borderId="0"/>
    <xf numFmtId="0" fontId="41" fillId="0" borderId="0"/>
    <xf numFmtId="0" fontId="55" fillId="0" borderId="0"/>
    <xf numFmtId="0" fontId="41" fillId="0" borderId="0"/>
    <xf numFmtId="0" fontId="56" fillId="0" borderId="0"/>
    <xf numFmtId="0" fontId="41" fillId="0" borderId="0"/>
    <xf numFmtId="0" fontId="56" fillId="0" borderId="0"/>
    <xf numFmtId="0" fontId="41" fillId="0" borderId="0"/>
    <xf numFmtId="0" fontId="73" fillId="0" borderId="0"/>
    <xf numFmtId="0" fontId="74" fillId="0" borderId="0"/>
    <xf numFmtId="0" fontId="75" fillId="0" borderId="0"/>
    <xf numFmtId="2" fontId="41" fillId="0" borderId="0"/>
    <xf numFmtId="0" fontId="56" fillId="0" borderId="0"/>
    <xf numFmtId="0" fontId="41" fillId="0" borderId="0"/>
    <xf numFmtId="0" fontId="59" fillId="0" borderId="0"/>
    <xf numFmtId="0" fontId="41" fillId="0" borderId="0"/>
    <xf numFmtId="0" fontId="56" fillId="0" borderId="0"/>
    <xf numFmtId="0" fontId="58" fillId="0" borderId="0"/>
    <xf numFmtId="0" fontId="56" fillId="0" borderId="0"/>
    <xf numFmtId="0" fontId="58" fillId="0" borderId="0"/>
    <xf numFmtId="0" fontId="59" fillId="0" borderId="0"/>
    <xf numFmtId="0" fontId="76" fillId="0" borderId="0"/>
    <xf numFmtId="0" fontId="56" fillId="0" borderId="0"/>
    <xf numFmtId="0" fontId="41" fillId="0" borderId="0"/>
    <xf numFmtId="0" fontId="56" fillId="0" borderId="0"/>
    <xf numFmtId="0" fontId="41" fillId="0" borderId="0"/>
    <xf numFmtId="0" fontId="56" fillId="0" borderId="0"/>
    <xf numFmtId="0" fontId="41" fillId="0" borderId="0"/>
    <xf numFmtId="0" fontId="60" fillId="0" borderId="0"/>
    <xf numFmtId="0" fontId="77" fillId="0" borderId="0"/>
    <xf numFmtId="0" fontId="78" fillId="0" borderId="0"/>
    <xf numFmtId="0" fontId="77" fillId="0" borderId="0"/>
    <xf numFmtId="0" fontId="78" fillId="0" borderId="0"/>
    <xf numFmtId="0" fontId="77" fillId="0" borderId="0"/>
    <xf numFmtId="0" fontId="78" fillId="0" borderId="0"/>
    <xf numFmtId="0" fontId="77" fillId="0" borderId="0"/>
    <xf numFmtId="0" fontId="78" fillId="0" borderId="0"/>
    <xf numFmtId="0" fontId="41" fillId="0" borderId="0"/>
    <xf numFmtId="0" fontId="60" fillId="0" borderId="0"/>
    <xf numFmtId="0" fontId="79" fillId="0" borderId="0"/>
    <xf numFmtId="0" fontId="80" fillId="0" borderId="0"/>
    <xf numFmtId="0" fontId="41" fillId="0" borderId="0"/>
    <xf numFmtId="0" fontId="56" fillId="0" borderId="0"/>
    <xf numFmtId="0" fontId="53" fillId="0" borderId="0"/>
    <xf numFmtId="0" fontId="56" fillId="0" borderId="0"/>
    <xf numFmtId="0" fontId="41" fillId="0" borderId="0"/>
    <xf numFmtId="0" fontId="56" fillId="0" borderId="0"/>
    <xf numFmtId="0" fontId="41" fillId="0" borderId="0"/>
    <xf numFmtId="0" fontId="56" fillId="0" borderId="0"/>
    <xf numFmtId="0" fontId="41" fillId="0" borderId="0"/>
    <xf numFmtId="0" fontId="56" fillId="0" borderId="0"/>
    <xf numFmtId="0" fontId="41" fillId="0" borderId="0"/>
    <xf numFmtId="0" fontId="56" fillId="0" borderId="0"/>
    <xf numFmtId="0" fontId="41" fillId="0" borderId="0"/>
    <xf numFmtId="0" fontId="56" fillId="0" borderId="0"/>
    <xf numFmtId="0" fontId="41" fillId="0" borderId="0"/>
    <xf numFmtId="0" fontId="56" fillId="0" borderId="0"/>
    <xf numFmtId="0" fontId="41" fillId="0" borderId="0"/>
    <xf numFmtId="0" fontId="56" fillId="0" borderId="0"/>
    <xf numFmtId="0" fontId="41" fillId="0" borderId="0"/>
    <xf numFmtId="0" fontId="56" fillId="0" borderId="0"/>
    <xf numFmtId="0" fontId="53" fillId="0" borderId="0"/>
    <xf numFmtId="0" fontId="55" fillId="0" borderId="0"/>
    <xf numFmtId="0" fontId="53" fillId="0" borderId="0"/>
    <xf numFmtId="0" fontId="56" fillId="0" borderId="0"/>
    <xf numFmtId="0" fontId="41" fillId="0" borderId="0"/>
    <xf numFmtId="0" fontId="55" fillId="0" borderId="0"/>
    <xf numFmtId="0" fontId="41" fillId="0" borderId="0"/>
    <xf numFmtId="0" fontId="56" fillId="0" borderId="0"/>
    <xf numFmtId="0" fontId="57" fillId="0" borderId="0"/>
    <xf numFmtId="0" fontId="60" fillId="0" borderId="0"/>
    <xf numFmtId="0" fontId="41" fillId="0" borderId="0"/>
    <xf numFmtId="0" fontId="56" fillId="0" borderId="0"/>
    <xf numFmtId="0" fontId="71" fillId="0" borderId="0"/>
    <xf numFmtId="0" fontId="81" fillId="0" borderId="0"/>
    <xf numFmtId="0" fontId="41" fillId="0" borderId="0" applyBorder="0"/>
    <xf numFmtId="0" fontId="56" fillId="0" borderId="0" applyBorder="0"/>
    <xf numFmtId="0" fontId="26" fillId="0" borderId="0"/>
    <xf numFmtId="0" fontId="55" fillId="0" borderId="0"/>
    <xf numFmtId="0" fontId="41" fillId="0" borderId="0"/>
    <xf numFmtId="0" fontId="56" fillId="0" borderId="0"/>
    <xf numFmtId="0" fontId="57" fillId="0" borderId="0"/>
    <xf numFmtId="0" fontId="60" fillId="0" borderId="0"/>
    <xf numFmtId="0" fontId="57" fillId="0" borderId="0"/>
    <xf numFmtId="0" fontId="60" fillId="0" borderId="0"/>
    <xf numFmtId="0" fontId="57" fillId="0" borderId="0"/>
    <xf numFmtId="0" fontId="82" fillId="0" borderId="0"/>
    <xf numFmtId="0" fontId="83" fillId="0" borderId="0" applyNumberFormat="0" applyFill="0" applyBorder="0" applyProtection="0">
      <alignment horizontal="right"/>
    </xf>
    <xf numFmtId="0" fontId="84" fillId="0" borderId="9"/>
    <xf numFmtId="193" fontId="40" fillId="0" borderId="0"/>
    <xf numFmtId="193" fontId="40" fillId="0" borderId="0"/>
    <xf numFmtId="193" fontId="40" fillId="0" borderId="0"/>
    <xf numFmtId="193" fontId="40" fillId="0" borderId="0"/>
    <xf numFmtId="193" fontId="40" fillId="0" borderId="0"/>
    <xf numFmtId="10" fontId="85" fillId="0" borderId="0">
      <alignment horizontal="right"/>
    </xf>
    <xf numFmtId="0" fontId="84" fillId="0" borderId="9"/>
    <xf numFmtId="0" fontId="44" fillId="0" borderId="0"/>
    <xf numFmtId="194" fontId="40" fillId="0" borderId="0"/>
    <xf numFmtId="194" fontId="40" fillId="0" borderId="0"/>
    <xf numFmtId="194" fontId="40" fillId="0" borderId="0"/>
    <xf numFmtId="194" fontId="40" fillId="0" borderId="0"/>
    <xf numFmtId="194" fontId="40" fillId="0" borderId="0"/>
    <xf numFmtId="0" fontId="86" fillId="0" borderId="0" applyNumberFormat="0" applyFill="0" applyBorder="0" applyProtection="0">
      <alignment horizontal="left"/>
    </xf>
    <xf numFmtId="180" fontId="46" fillId="0" borderId="0" applyFont="0" applyFill="0" applyBorder="0" applyAlignment="0" applyProtection="0"/>
    <xf numFmtId="180" fontId="46" fillId="0" borderId="0" applyFont="0" applyFill="0" applyBorder="0" applyAlignment="0" applyProtection="0"/>
    <xf numFmtId="180" fontId="46" fillId="0" borderId="0" applyFont="0" applyFill="0" applyBorder="0" applyAlignment="0" applyProtection="0"/>
    <xf numFmtId="180" fontId="46" fillId="0" borderId="0" applyFont="0" applyFill="0" applyBorder="0" applyAlignment="0" applyProtection="0"/>
    <xf numFmtId="180" fontId="46" fillId="0" borderId="0" applyFont="0" applyFill="0" applyBorder="0" applyAlignment="0" applyProtection="0"/>
    <xf numFmtId="0" fontId="87" fillId="0" borderId="0" applyNumberFormat="0" applyFill="0" applyBorder="0" applyProtection="0">
      <alignment horizontal="right"/>
    </xf>
    <xf numFmtId="195" fontId="27" fillId="0" borderId="0" applyFont="0" applyFill="0" applyBorder="0" applyAlignment="0" applyProtection="0"/>
    <xf numFmtId="0" fontId="88" fillId="0" borderId="0" applyNumberFormat="0" applyFill="0" applyBorder="0" applyProtection="0">
      <alignment horizontal="right"/>
    </xf>
    <xf numFmtId="38" fontId="21" fillId="2" borderId="0" applyNumberFormat="0" applyBorder="0" applyAlignment="0" applyProtection="0"/>
    <xf numFmtId="0" fontId="89" fillId="0" borderId="0">
      <alignment horizontal="left"/>
    </xf>
    <xf numFmtId="0" fontId="23" fillId="0" borderId="1" applyNumberFormat="0" applyAlignment="0" applyProtection="0">
      <alignment horizontal="left" vertical="center"/>
    </xf>
    <xf numFmtId="0" fontId="23" fillId="0" borderId="5">
      <alignment horizontal="left" vertical="center"/>
    </xf>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10" fontId="21" fillId="2" borderId="2" applyNumberFormat="0" applyBorder="0" applyAlignment="0" applyProtection="0"/>
    <xf numFmtId="0" fontId="90" fillId="0" borderId="0" applyNumberFormat="0" applyFill="0" applyBorder="0" applyProtection="0">
      <alignment horizontal="left"/>
    </xf>
    <xf numFmtId="196" fontId="38" fillId="0" borderId="0" applyFont="0" applyFill="0" applyBorder="0" applyAlignment="0" applyProtection="0"/>
    <xf numFmtId="196" fontId="38" fillId="0" borderId="0" applyFont="0" applyFill="0" applyBorder="0" applyAlignment="0" applyProtection="0"/>
    <xf numFmtId="196" fontId="38" fillId="0" borderId="0" applyFont="0" applyFill="0" applyBorder="0" applyAlignment="0" applyProtection="0"/>
    <xf numFmtId="196" fontId="38" fillId="0" borderId="0" applyFont="0" applyFill="0" applyBorder="0" applyAlignment="0" applyProtection="0"/>
    <xf numFmtId="196"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91" fillId="0" borderId="7"/>
    <xf numFmtId="37" fontId="92" fillId="0" borderId="0"/>
    <xf numFmtId="197" fontId="40" fillId="0" borderId="0"/>
    <xf numFmtId="197" fontId="40" fillId="0" borderId="0"/>
    <xf numFmtId="197" fontId="40" fillId="0" borderId="0"/>
    <xf numFmtId="197" fontId="40" fillId="0" borderId="0"/>
    <xf numFmtId="197" fontId="40"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24"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38" fillId="0" borderId="0" applyFont="0" applyFill="0" applyBorder="0" applyAlignment="0" applyProtection="0"/>
    <xf numFmtId="198" fontId="93" fillId="9" borderId="0">
      <alignment vertical="center"/>
    </xf>
    <xf numFmtId="0" fontId="85" fillId="0" borderId="0">
      <alignment horizontal="right" vertical="top"/>
    </xf>
    <xf numFmtId="40" fontId="94" fillId="0" borderId="0" applyFont="0" applyFill="0" applyBorder="0" applyAlignment="0" applyProtection="0"/>
    <xf numFmtId="0" fontId="86" fillId="0" borderId="0" applyNumberFormat="0" applyFill="0" applyBorder="0" applyProtection="0">
      <alignment horizontal="left"/>
    </xf>
    <xf numFmtId="10" fontId="24" fillId="0" borderId="0" applyFont="0" applyFill="0" applyBorder="0" applyAlignment="0" applyProtection="0"/>
    <xf numFmtId="10" fontId="24" fillId="0" borderId="0" applyFont="0" applyFill="0" applyBorder="0" applyAlignment="0" applyProtection="0"/>
    <xf numFmtId="10" fontId="24" fillId="0" borderId="0" applyFont="0" applyFill="0" applyBorder="0" applyAlignment="0" applyProtection="0"/>
    <xf numFmtId="0" fontId="95" fillId="0" borderId="0" applyNumberFormat="0" applyFill="0" applyBorder="0" applyProtection="0">
      <alignment horizontal="right"/>
    </xf>
    <xf numFmtId="4" fontId="96" fillId="0" borderId="0" applyFont="0" applyFill="0" applyBorder="0" applyProtection="0">
      <alignment horizontal="right"/>
    </xf>
    <xf numFmtId="0" fontId="41" fillId="0" borderId="0" applyFont="0" applyFill="0" applyBorder="0" applyAlignment="0" applyProtection="0"/>
    <xf numFmtId="0" fontId="97" fillId="10" borderId="4">
      <alignment horizontal="center" vertical="center"/>
    </xf>
    <xf numFmtId="199" fontId="40" fillId="0" borderId="0" applyFont="0" applyFill="0" applyBorder="0" applyAlignment="0" applyProtection="0"/>
    <xf numFmtId="199" fontId="40" fillId="0" borderId="0" applyFont="0" applyFill="0" applyBorder="0" applyAlignment="0" applyProtection="0"/>
    <xf numFmtId="199" fontId="40" fillId="0" borderId="0" applyFont="0" applyFill="0" applyBorder="0" applyAlignment="0" applyProtection="0"/>
    <xf numFmtId="199" fontId="40" fillId="0" borderId="0" applyFont="0" applyFill="0" applyBorder="0" applyAlignment="0" applyProtection="0"/>
    <xf numFmtId="199" fontId="40" fillId="0" borderId="0" applyFont="0" applyFill="0" applyBorder="0" applyAlignment="0" applyProtection="0"/>
    <xf numFmtId="0" fontId="63" fillId="0" borderId="0" applyFont="0" applyFill="0" applyBorder="0" applyAlignment="0" applyProtection="0"/>
    <xf numFmtId="0" fontId="91" fillId="0" borderId="0"/>
    <xf numFmtId="0" fontId="41" fillId="0" borderId="0"/>
    <xf numFmtId="0" fontId="41" fillId="0" borderId="0"/>
    <xf numFmtId="0" fontId="41" fillId="0" borderId="0"/>
    <xf numFmtId="0" fontId="41" fillId="0" borderId="0"/>
    <xf numFmtId="0" fontId="41" fillId="0" borderId="0"/>
    <xf numFmtId="179" fontId="40" fillId="0" borderId="0" applyFont="0" applyFill="0" applyBorder="0" applyAlignment="0" applyProtection="0"/>
    <xf numFmtId="179" fontId="40" fillId="0" borderId="0" applyFont="0" applyFill="0" applyBorder="0" applyAlignment="0" applyProtection="0"/>
    <xf numFmtId="179" fontId="40" fillId="0" borderId="0" applyFont="0" applyFill="0" applyBorder="0" applyAlignment="0" applyProtection="0"/>
    <xf numFmtId="179" fontId="40" fillId="0" borderId="0" applyFont="0" applyFill="0" applyBorder="0" applyAlignment="0" applyProtection="0"/>
    <xf numFmtId="179" fontId="40" fillId="0" borderId="0" applyFont="0" applyFill="0" applyBorder="0" applyAlignment="0" applyProtection="0"/>
    <xf numFmtId="0" fontId="98" fillId="0" borderId="0" applyNumberFormat="0" applyFill="0" applyBorder="0" applyAlignment="0" applyProtection="0"/>
    <xf numFmtId="0" fontId="65" fillId="11" borderId="10" applyNumberFormat="0" applyAlignment="0" applyProtection="0"/>
    <xf numFmtId="0" fontId="99" fillId="0" borderId="0" applyNumberFormat="0" applyFill="0" applyBorder="0" applyProtection="0">
      <alignment horizontal="right"/>
    </xf>
    <xf numFmtId="0" fontId="41" fillId="0" borderId="0" applyFont="0" applyFill="0" applyBorder="0" applyAlignment="0" applyProtection="0"/>
    <xf numFmtId="0" fontId="24" fillId="0" borderId="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2" fontId="100" fillId="0" borderId="0" applyFont="0" applyFill="0" applyBorder="0" applyAlignment="0" applyProtection="0"/>
    <xf numFmtId="2" fontId="100" fillId="0" borderId="0" applyFont="0" applyFill="0" applyBorder="0" applyAlignment="0" applyProtection="0"/>
    <xf numFmtId="2" fontId="100" fillId="0" borderId="0" applyFont="0" applyFill="0" applyBorder="0" applyAlignment="0" applyProtection="0"/>
    <xf numFmtId="2" fontId="100" fillId="0" borderId="0" applyFont="0" applyFill="0" applyBorder="0" applyAlignment="0" applyProtection="0"/>
    <xf numFmtId="2" fontId="100" fillId="0" borderId="0" applyFon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0" fontId="101"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0" fontId="100" fillId="0" borderId="0" applyFont="0" applyFill="0" applyBorder="0" applyAlignment="0" applyProtection="0"/>
    <xf numFmtId="38" fontId="103" fillId="0" borderId="0">
      <alignment vertical="center"/>
    </xf>
    <xf numFmtId="0" fontId="104"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0" fontId="104" fillId="0" borderId="0" applyNumberFormat="0" applyFill="0" applyBorder="0" applyAlignment="0" applyProtection="0">
      <alignment vertical="top"/>
      <protection locked="0"/>
    </xf>
    <xf numFmtId="38" fontId="105" fillId="0" borderId="0" applyFont="0" applyFill="0" applyBorder="0" applyAlignment="0" applyProtection="0"/>
    <xf numFmtId="40" fontId="94" fillId="0" borderId="0" applyFont="0" applyFill="0" applyBorder="0" applyAlignment="0" applyProtection="0"/>
    <xf numFmtId="38" fontId="94" fillId="0" borderId="0" applyFont="0" applyFill="0" applyBorder="0" applyAlignment="0" applyProtection="0"/>
    <xf numFmtId="0" fontId="105" fillId="0" borderId="0" applyFont="0" applyFill="0" applyBorder="0" applyAlignment="0" applyProtection="0"/>
    <xf numFmtId="0" fontId="105"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200" fontId="106" fillId="0" borderId="0">
      <protection locked="0"/>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40" fillId="0" borderId="0" applyFont="0" applyFill="0" applyBorder="0" applyAlignment="0" applyProtection="0"/>
    <xf numFmtId="201" fontId="108" fillId="12" borderId="11">
      <alignment vertical="center"/>
    </xf>
    <xf numFmtId="0" fontId="24" fillId="0" borderId="0"/>
    <xf numFmtId="0" fontId="24" fillId="0" borderId="0"/>
    <xf numFmtId="0" fontId="24" fillId="0" borderId="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192" fontId="40" fillId="0" borderId="0" applyFont="0" applyFill="0" applyBorder="0" applyAlignment="0" applyProtection="0"/>
    <xf numFmtId="192" fontId="40" fillId="0" borderId="0" applyFont="0" applyFill="0" applyBorder="0" applyAlignment="0" applyProtection="0"/>
    <xf numFmtId="192" fontId="40" fillId="0" borderId="0" applyFont="0" applyFill="0" applyBorder="0" applyAlignment="0" applyProtection="0"/>
    <xf numFmtId="192" fontId="40" fillId="0" borderId="0" applyFont="0" applyFill="0" applyBorder="0" applyAlignment="0" applyProtection="0"/>
    <xf numFmtId="192"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182" fontId="46" fillId="0" borderId="0" applyFont="0" applyFill="0" applyBorder="0" applyAlignment="0" applyProtection="0"/>
    <xf numFmtId="182" fontId="46" fillId="0" borderId="0" applyFont="0" applyFill="0" applyBorder="0" applyAlignment="0" applyProtection="0"/>
    <xf numFmtId="182" fontId="46" fillId="0" borderId="0" applyFont="0" applyFill="0" applyBorder="0" applyAlignment="0" applyProtection="0"/>
    <xf numFmtId="182" fontId="46" fillId="0" borderId="0" applyFont="0" applyFill="0" applyBorder="0" applyAlignment="0" applyProtection="0"/>
    <xf numFmtId="182" fontId="46"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77" fontId="40" fillId="0" borderId="0" applyFont="0" applyFill="0" applyBorder="0" applyAlignment="0" applyProtection="0"/>
    <xf numFmtId="190" fontId="40" fillId="0" borderId="0" applyFont="0" applyFill="0" applyBorder="0" applyAlignment="0" applyProtection="0"/>
    <xf numFmtId="190" fontId="40" fillId="0" borderId="0" applyFont="0" applyFill="0" applyBorder="0" applyAlignment="0" applyProtection="0"/>
    <xf numFmtId="190" fontId="40" fillId="0" borderId="0" applyFont="0" applyFill="0" applyBorder="0" applyAlignment="0" applyProtection="0"/>
    <xf numFmtId="190" fontId="40" fillId="0" borderId="0" applyFont="0" applyFill="0" applyBorder="0" applyAlignment="0" applyProtection="0"/>
    <xf numFmtId="190" fontId="40"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9" fontId="40" fillId="0" borderId="0" applyFont="0" applyFill="0" applyBorder="0" applyAlignment="0" applyProtection="0"/>
    <xf numFmtId="9" fontId="40" fillId="0" borderId="0" applyFont="0" applyFill="0" applyBorder="0" applyAlignment="0" applyProtection="0"/>
    <xf numFmtId="9" fontId="40" fillId="0" borderId="0" applyFont="0" applyFill="0" applyBorder="0" applyAlignment="0" applyProtection="0"/>
    <xf numFmtId="9" fontId="40" fillId="0" borderId="0" applyFont="0" applyFill="0" applyBorder="0" applyAlignment="0" applyProtection="0"/>
    <xf numFmtId="9" fontId="40" fillId="0" borderId="0" applyFont="0" applyFill="0" applyBorder="0" applyAlignment="0" applyProtection="0"/>
    <xf numFmtId="4" fontId="100" fillId="0" borderId="0" applyFont="0" applyFill="0" applyBorder="0" applyAlignment="0" applyProtection="0"/>
    <xf numFmtId="4" fontId="100" fillId="0" borderId="0" applyFont="0" applyFill="0" applyBorder="0" applyAlignment="0" applyProtection="0"/>
    <xf numFmtId="4" fontId="100" fillId="0" borderId="0" applyFont="0" applyFill="0" applyBorder="0" applyAlignment="0" applyProtection="0"/>
    <xf numFmtId="4" fontId="100" fillId="0" borderId="0" applyFont="0" applyFill="0" applyBorder="0" applyAlignment="0" applyProtection="0"/>
    <xf numFmtId="4" fontId="100" fillId="0" borderId="0" applyFont="0" applyFill="0" applyBorder="0" applyAlignment="0" applyProtection="0"/>
    <xf numFmtId="3" fontId="100" fillId="0" borderId="0" applyFont="0" applyFill="0" applyBorder="0" applyAlignment="0" applyProtection="0"/>
    <xf numFmtId="3" fontId="100" fillId="0" borderId="0" applyFont="0" applyFill="0" applyBorder="0" applyAlignment="0" applyProtection="0"/>
    <xf numFmtId="3" fontId="100" fillId="0" borderId="0" applyFont="0" applyFill="0" applyBorder="0" applyAlignment="0" applyProtection="0"/>
    <xf numFmtId="3" fontId="100" fillId="0" borderId="0" applyFont="0" applyFill="0" applyBorder="0" applyAlignment="0" applyProtection="0"/>
    <xf numFmtId="3" fontId="100" fillId="0" borderId="0" applyFont="0" applyFill="0" applyBorder="0" applyAlignment="0" applyProtection="0"/>
    <xf numFmtId="0" fontId="109" fillId="0" borderId="0"/>
    <xf numFmtId="0" fontId="38" fillId="0" borderId="0"/>
    <xf numFmtId="0" fontId="38" fillId="0" borderId="0"/>
    <xf numFmtId="0" fontId="38" fillId="0" borderId="0"/>
    <xf numFmtId="0" fontId="38" fillId="0" borderId="0"/>
    <xf numFmtId="0" fontId="38" fillId="0" borderId="0"/>
    <xf numFmtId="200" fontId="106" fillId="0" borderId="0">
      <protection locked="0"/>
    </xf>
    <xf numFmtId="200" fontId="106" fillId="0" borderId="0">
      <protection locked="0"/>
    </xf>
    <xf numFmtId="0" fontId="38" fillId="0" borderId="0" applyFont="0" applyFill="0" applyBorder="0" applyAlignment="0" applyProtection="0"/>
    <xf numFmtId="0" fontId="47" fillId="0" borderId="0" applyFont="0" applyFill="0" applyBorder="0" applyAlignment="0" applyProtection="0"/>
    <xf numFmtId="0" fontId="38" fillId="0" borderId="0" applyFont="0" applyFill="0" applyBorder="0" applyAlignment="0" applyProtection="0"/>
    <xf numFmtId="3" fontId="110" fillId="0" borderId="0"/>
    <xf numFmtId="200" fontId="106" fillId="0" borderId="0">
      <protection locked="0"/>
    </xf>
    <xf numFmtId="200" fontId="106" fillId="0" borderId="0">
      <protection locked="0"/>
    </xf>
    <xf numFmtId="10" fontId="100" fillId="0" borderId="0" applyFont="0" applyFill="0" applyBorder="0" applyAlignment="0" applyProtection="0"/>
    <xf numFmtId="10" fontId="100" fillId="0" borderId="0" applyFont="0" applyFill="0" applyBorder="0" applyAlignment="0" applyProtection="0"/>
    <xf numFmtId="10" fontId="100" fillId="0" borderId="0" applyFont="0" applyFill="0" applyBorder="0" applyAlignment="0" applyProtection="0"/>
    <xf numFmtId="10" fontId="100" fillId="0" borderId="0" applyFont="0" applyFill="0" applyBorder="0" applyAlignment="0" applyProtection="0"/>
    <xf numFmtId="10" fontId="100" fillId="0" borderId="0" applyFont="0" applyFill="0" applyBorder="0" applyAlignment="0" applyProtection="0"/>
    <xf numFmtId="200" fontId="106" fillId="0" borderId="0">
      <protection locked="0"/>
    </xf>
    <xf numFmtId="198" fontId="24" fillId="0" borderId="4">
      <alignment vertical="center"/>
    </xf>
    <xf numFmtId="198" fontId="24" fillId="0" borderId="4">
      <alignment vertical="center"/>
    </xf>
    <xf numFmtId="198" fontId="24" fillId="0" borderId="4">
      <alignment vertical="center"/>
    </xf>
    <xf numFmtId="0" fontId="40" fillId="0" borderId="0">
      <alignment vertical="center"/>
    </xf>
    <xf numFmtId="0" fontId="100" fillId="0" borderId="12" applyNumberFormat="0" applyFont="0" applyFill="0" applyAlignment="0" applyProtection="0"/>
    <xf numFmtId="0" fontId="100" fillId="0" borderId="12" applyNumberFormat="0" applyFont="0" applyFill="0" applyAlignment="0" applyProtection="0"/>
    <xf numFmtId="0" fontId="100" fillId="0" borderId="12" applyNumberFormat="0" applyFont="0" applyFill="0" applyAlignment="0" applyProtection="0"/>
    <xf numFmtId="0" fontId="100" fillId="0" borderId="12" applyNumberFormat="0" applyFont="0" applyFill="0" applyAlignment="0" applyProtection="0"/>
    <xf numFmtId="0" fontId="100" fillId="0" borderId="12" applyNumberFormat="0" applyFont="0" applyFill="0" applyAlignment="0" applyProtection="0"/>
    <xf numFmtId="202" fontId="100"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202" fontId="100" fillId="0" borderId="0" applyFont="0" applyFill="0" applyBorder="0" applyAlignment="0" applyProtection="0"/>
    <xf numFmtId="203" fontId="100" fillId="0" borderId="0" applyFont="0" applyFill="0" applyBorder="0" applyAlignment="0" applyProtection="0"/>
    <xf numFmtId="203" fontId="100" fillId="0" borderId="0" applyFont="0" applyFill="0" applyBorder="0" applyAlignment="0" applyProtection="0"/>
    <xf numFmtId="203" fontId="100" fillId="0" borderId="0" applyFont="0" applyFill="0" applyBorder="0" applyAlignment="0" applyProtection="0"/>
    <xf numFmtId="203" fontId="100" fillId="0" borderId="0" applyFont="0" applyFill="0" applyBorder="0" applyAlignment="0" applyProtection="0"/>
    <xf numFmtId="203" fontId="100"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38" fillId="0" borderId="0" applyFont="0" applyFill="0" applyBorder="0" applyAlignment="0" applyProtection="0"/>
    <xf numFmtId="0" fontId="111" fillId="0" borderId="0"/>
    <xf numFmtId="190" fontId="111" fillId="0" borderId="0" applyFont="0" applyFill="0" applyBorder="0" applyAlignment="0" applyProtection="0"/>
    <xf numFmtId="192" fontId="111" fillId="0" borderId="0" applyFont="0" applyFill="0" applyBorder="0" applyAlignment="0" applyProtection="0"/>
    <xf numFmtId="204" fontId="111" fillId="0" borderId="0" applyFont="0" applyFill="0" applyBorder="0" applyAlignment="0" applyProtection="0"/>
    <xf numFmtId="205" fontId="111" fillId="0" borderId="0" applyFont="0" applyFill="0" applyBorder="0" applyAlignment="0" applyProtection="0"/>
    <xf numFmtId="0" fontId="112" fillId="0" borderId="0"/>
    <xf numFmtId="0" fontId="18" fillId="0" borderId="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xf numFmtId="0" fontId="27" fillId="0" borderId="0"/>
    <xf numFmtId="0" fontId="2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34" fillId="0" borderId="0">
      <alignment vertic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7" fillId="0" borderId="0"/>
    <xf numFmtId="0" fontId="24" fillId="0" borderId="0"/>
    <xf numFmtId="0" fontId="18" fillId="0" borderId="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xf numFmtId="0" fontId="18" fillId="0" borderId="0"/>
    <xf numFmtId="0" fontId="113" fillId="0" borderId="0">
      <alignment vertical="center"/>
    </xf>
    <xf numFmtId="0" fontId="113" fillId="0" borderId="0">
      <alignment vertical="center"/>
    </xf>
    <xf numFmtId="0" fontId="113" fillId="0" borderId="0">
      <alignment vertical="center"/>
    </xf>
    <xf numFmtId="0" fontId="113" fillId="0" borderId="0">
      <alignment vertical="center"/>
    </xf>
    <xf numFmtId="0" fontId="113" fillId="0" borderId="0">
      <alignment vertical="center"/>
    </xf>
    <xf numFmtId="0" fontId="113" fillId="0" borderId="0">
      <alignment vertical="center"/>
    </xf>
    <xf numFmtId="0" fontId="113" fillId="0" borderId="0">
      <alignment vertical="center"/>
    </xf>
    <xf numFmtId="0" fontId="113" fillId="0" borderId="0">
      <alignment vertical="center"/>
    </xf>
    <xf numFmtId="0" fontId="24" fillId="0" borderId="0"/>
    <xf numFmtId="0" fontId="14" fillId="0" borderId="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xf numFmtId="0" fontId="27" fillId="0" borderId="0"/>
    <xf numFmtId="0" fontId="2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xf numFmtId="0" fontId="13" fillId="0" borderId="0"/>
    <xf numFmtId="0" fontId="12" fillId="0" borderId="0"/>
    <xf numFmtId="0" fontId="12" fillId="0" borderId="0"/>
    <xf numFmtId="0" fontId="11" fillId="0" borderId="0"/>
    <xf numFmtId="0" fontId="11" fillId="0" borderId="0"/>
    <xf numFmtId="0" fontId="113" fillId="0" borderId="0">
      <alignment vertical="center"/>
    </xf>
    <xf numFmtId="0" fontId="4" fillId="0" borderId="0"/>
    <xf numFmtId="0" fontId="4" fillId="0" borderId="0"/>
    <xf numFmtId="0" fontId="120" fillId="0" borderId="0"/>
    <xf numFmtId="0" fontId="120" fillId="0" borderId="0"/>
  </cellStyleXfs>
  <cellXfs count="103">
    <xf numFmtId="0" fontId="0" fillId="0" borderId="0" xfId="0"/>
    <xf numFmtId="0" fontId="0" fillId="0" borderId="0" xfId="0" applyAlignment="1">
      <alignment wrapText="1"/>
    </xf>
    <xf numFmtId="0" fontId="27" fillId="0" borderId="0" xfId="0" applyFont="1"/>
    <xf numFmtId="0" fontId="0" fillId="0" borderId="0" xfId="0" applyAlignment="1">
      <alignment vertical="center"/>
    </xf>
    <xf numFmtId="0" fontId="27" fillId="0" borderId="0" xfId="0" applyFont="1" applyAlignment="1">
      <alignment vertical="center"/>
    </xf>
    <xf numFmtId="0" fontId="28" fillId="0" borderId="0" xfId="0" applyFont="1"/>
    <xf numFmtId="0" fontId="0" fillId="4" borderId="0" xfId="0" applyFill="1"/>
    <xf numFmtId="0" fontId="31" fillId="4" borderId="0" xfId="0" applyFont="1" applyFill="1"/>
    <xf numFmtId="0" fontId="22" fillId="3" borderId="0" xfId="0" applyFont="1" applyFill="1"/>
    <xf numFmtId="0" fontId="27" fillId="5" borderId="0" xfId="0" applyFont="1" applyFill="1" applyAlignment="1">
      <alignment horizontal="left" indent="2"/>
    </xf>
    <xf numFmtId="0" fontId="27" fillId="4" borderId="0" xfId="0" applyFont="1" applyFill="1"/>
    <xf numFmtId="0" fontId="32" fillId="4" borderId="0" xfId="0" applyFont="1" applyFill="1"/>
    <xf numFmtId="0" fontId="27" fillId="5" borderId="0" xfId="0" applyFont="1" applyFill="1" applyAlignment="1">
      <alignment horizontal="right"/>
    </xf>
    <xf numFmtId="0" fontId="33" fillId="0" borderId="0" xfId="0" applyFont="1"/>
    <xf numFmtId="0" fontId="27" fillId="0" borderId="0" xfId="0" applyFont="1" applyFill="1" applyBorder="1"/>
    <xf numFmtId="49" fontId="0" fillId="0" borderId="0" xfId="0" applyNumberFormat="1"/>
    <xf numFmtId="1" fontId="0" fillId="3" borderId="0" xfId="0" applyNumberFormat="1" applyFill="1" applyAlignment="1">
      <alignment vertical="center"/>
    </xf>
    <xf numFmtId="0" fontId="27" fillId="0" borderId="0" xfId="0" applyNumberFormat="1" applyFont="1"/>
    <xf numFmtId="0" fontId="27" fillId="5" borderId="0" xfId="0" applyFont="1" applyFill="1" applyAlignment="1">
      <alignment horizontal="left"/>
    </xf>
    <xf numFmtId="0" fontId="27" fillId="3" borderId="0" xfId="0" applyFont="1" applyFill="1" applyAlignment="1"/>
    <xf numFmtId="0" fontId="27" fillId="5" borderId="0" xfId="0" applyFont="1" applyFill="1" applyAlignment="1"/>
    <xf numFmtId="0" fontId="27" fillId="0" borderId="0" xfId="0" applyFont="1" applyBorder="1" applyAlignment="1">
      <alignment vertical="center"/>
    </xf>
    <xf numFmtId="0" fontId="36" fillId="0" borderId="0" xfId="6" applyFont="1" applyBorder="1" applyAlignment="1">
      <alignment horizontal="left" vertical="center"/>
    </xf>
    <xf numFmtId="0" fontId="17" fillId="0" borderId="0" xfId="6" applyFont="1" applyBorder="1" applyAlignment="1">
      <alignment horizontal="left" vertical="center"/>
    </xf>
    <xf numFmtId="0" fontId="27" fillId="0" borderId="0" xfId="0" applyFont="1" applyAlignment="1">
      <alignment wrapText="1"/>
    </xf>
    <xf numFmtId="0" fontId="35" fillId="0" borderId="2" xfId="4" applyFont="1" applyBorder="1" applyAlignment="1">
      <alignment horizontal="center" vertical="center"/>
    </xf>
    <xf numFmtId="0" fontId="16" fillId="0" borderId="0" xfId="6" applyFont="1" applyBorder="1" applyAlignment="1">
      <alignment horizontal="left" vertical="center"/>
    </xf>
    <xf numFmtId="0" fontId="15" fillId="0" borderId="0" xfId="6" applyFont="1" applyBorder="1" applyAlignment="1">
      <alignment horizontal="left" vertical="center"/>
    </xf>
    <xf numFmtId="0" fontId="14" fillId="0" borderId="0" xfId="6" applyFont="1" applyBorder="1" applyAlignment="1">
      <alignment horizontal="left" vertical="center"/>
    </xf>
    <xf numFmtId="0" fontId="32" fillId="0" borderId="0" xfId="0" applyFont="1"/>
    <xf numFmtId="0" fontId="32" fillId="0" borderId="0" xfId="0" applyFont="1" applyFill="1" applyBorder="1"/>
    <xf numFmtId="0" fontId="32" fillId="0" borderId="0" xfId="0" applyFont="1" applyAlignment="1">
      <alignment vertical="center"/>
    </xf>
    <xf numFmtId="0" fontId="32" fillId="0" borderId="0" xfId="0" applyFont="1" applyAlignment="1">
      <alignment wrapText="1"/>
    </xf>
    <xf numFmtId="49" fontId="27" fillId="0" borderId="0" xfId="0" applyNumberFormat="1" applyFont="1"/>
    <xf numFmtId="0" fontId="17" fillId="13" borderId="0" xfId="6" applyFont="1" applyFill="1" applyBorder="1" applyAlignment="1">
      <alignment horizontal="left" vertical="center"/>
    </xf>
    <xf numFmtId="49" fontId="27" fillId="13" borderId="0" xfId="0" applyNumberFormat="1" applyFont="1" applyFill="1"/>
    <xf numFmtId="0" fontId="27" fillId="14" borderId="0" xfId="0" applyFont="1" applyFill="1" applyAlignment="1">
      <alignment wrapText="1"/>
    </xf>
    <xf numFmtId="0" fontId="116" fillId="0" borderId="0" xfId="0" applyFont="1"/>
    <xf numFmtId="0" fontId="115" fillId="15" borderId="2" xfId="0" applyFont="1" applyFill="1" applyBorder="1"/>
    <xf numFmtId="0" fontId="22" fillId="16" borderId="0" xfId="0" applyFont="1" applyFill="1"/>
    <xf numFmtId="0" fontId="117" fillId="15" borderId="2" xfId="0" applyFont="1" applyFill="1" applyBorder="1"/>
    <xf numFmtId="0" fontId="118" fillId="0" borderId="0" xfId="0" applyFont="1" applyAlignment="1">
      <alignment vertical="center"/>
    </xf>
    <xf numFmtId="0" fontId="118" fillId="0" borderId="0" xfId="0" applyFont="1"/>
    <xf numFmtId="0" fontId="10" fillId="0" borderId="0" xfId="6" applyFont="1" applyBorder="1" applyAlignment="1">
      <alignment horizontal="left" vertical="center"/>
    </xf>
    <xf numFmtId="0" fontId="9" fillId="0" borderId="0" xfId="6" applyFont="1" applyBorder="1" applyAlignment="1">
      <alignment horizontal="left" vertical="center"/>
    </xf>
    <xf numFmtId="0" fontId="17" fillId="13" borderId="0" xfId="6" applyFont="1" applyFill="1" applyBorder="1" applyAlignment="1">
      <alignment horizontal="left" vertical="center" wrapText="1"/>
    </xf>
    <xf numFmtId="0" fontId="8" fillId="13" borderId="0" xfId="6" applyFont="1" applyFill="1" applyBorder="1" applyAlignment="1">
      <alignment horizontal="left" vertical="center"/>
    </xf>
    <xf numFmtId="0" fontId="7" fillId="0" borderId="0" xfId="6" applyFont="1" applyBorder="1" applyAlignment="1">
      <alignment horizontal="left" vertical="center"/>
    </xf>
    <xf numFmtId="0" fontId="6" fillId="13" borderId="0" xfId="6" applyFont="1" applyFill="1" applyBorder="1" applyAlignment="1">
      <alignment horizontal="left" vertical="center"/>
    </xf>
    <xf numFmtId="0" fontId="5" fillId="13" borderId="0" xfId="6" applyFont="1" applyFill="1" applyBorder="1" applyAlignment="1">
      <alignment horizontal="left" vertical="center"/>
    </xf>
    <xf numFmtId="0" fontId="4" fillId="0" borderId="0" xfId="6" applyFont="1" applyBorder="1" applyAlignment="1">
      <alignment horizontal="left" vertical="center"/>
    </xf>
    <xf numFmtId="0" fontId="4" fillId="7" borderId="0" xfId="6" applyFont="1" applyFill="1" applyBorder="1" applyAlignment="1">
      <alignment horizontal="left" vertical="center"/>
    </xf>
    <xf numFmtId="0" fontId="4" fillId="0" borderId="0" xfId="6" applyFont="1" applyBorder="1" applyAlignment="1">
      <alignment horizontal="left" vertical="center" wrapText="1"/>
    </xf>
    <xf numFmtId="0" fontId="3" fillId="13" borderId="0" xfId="6" applyFont="1" applyFill="1" applyBorder="1" applyAlignment="1">
      <alignment horizontal="left" vertical="center"/>
    </xf>
    <xf numFmtId="0" fontId="3" fillId="0" borderId="0" xfId="6" applyFont="1" applyBorder="1" applyAlignment="1">
      <alignment horizontal="left" vertical="center"/>
    </xf>
    <xf numFmtId="0" fontId="2" fillId="13" borderId="0" xfId="6" applyFont="1" applyFill="1" applyBorder="1" applyAlignment="1">
      <alignment horizontal="left" vertical="center"/>
    </xf>
    <xf numFmtId="0" fontId="121" fillId="6" borderId="2" xfId="1067" applyFont="1" applyFill="1" applyBorder="1" applyAlignment="1">
      <alignment horizontal="center" vertical="center" wrapText="1"/>
    </xf>
    <xf numFmtId="0" fontId="121" fillId="3" borderId="2" xfId="1067" applyFont="1" applyFill="1" applyBorder="1" applyAlignment="1">
      <alignment horizontal="center" vertical="center" wrapText="1"/>
    </xf>
    <xf numFmtId="0" fontId="121" fillId="7" borderId="2" xfId="1067" applyFont="1" applyFill="1" applyBorder="1" applyAlignment="1">
      <alignment horizontal="center" vertical="center" wrapText="1"/>
    </xf>
    <xf numFmtId="0" fontId="121" fillId="7" borderId="8" xfId="1067" applyFont="1" applyFill="1" applyBorder="1" applyAlignment="1">
      <alignment horizontal="center" vertical="center" wrapText="1"/>
    </xf>
    <xf numFmtId="0" fontId="121" fillId="7" borderId="6" xfId="1067" applyFont="1" applyFill="1" applyBorder="1" applyAlignment="1">
      <alignment horizontal="center" vertical="center" wrapText="1"/>
    </xf>
    <xf numFmtId="0" fontId="121" fillId="7" borderId="2" xfId="1067" applyFont="1" applyFill="1" applyBorder="1" applyAlignment="1">
      <alignment horizontal="center" vertical="center"/>
    </xf>
    <xf numFmtId="0" fontId="120" fillId="0" borderId="0" xfId="1067" applyAlignment="1">
      <alignment vertical="center"/>
    </xf>
    <xf numFmtId="0" fontId="120" fillId="7" borderId="2" xfId="1067" applyFill="1" applyBorder="1" applyAlignment="1">
      <alignment horizontal="left" vertical="center"/>
    </xf>
    <xf numFmtId="0" fontId="120" fillId="3" borderId="2" xfId="1067" applyFill="1" applyBorder="1" applyAlignment="1">
      <alignment horizontal="left" vertical="center" wrapText="1"/>
    </xf>
    <xf numFmtId="0" fontId="120" fillId="3" borderId="2" xfId="1067" applyFill="1" applyBorder="1" applyAlignment="1">
      <alignment horizontal="left" vertical="center"/>
    </xf>
    <xf numFmtId="0" fontId="120" fillId="0" borderId="2" xfId="1067" applyBorder="1" applyAlignment="1">
      <alignment horizontal="left" vertical="center" wrapText="1"/>
    </xf>
    <xf numFmtId="0" fontId="120" fillId="0" borderId="2" xfId="1067" applyBorder="1" applyAlignment="1">
      <alignment horizontal="center" vertical="center"/>
    </xf>
    <xf numFmtId="0" fontId="120" fillId="0" borderId="8" xfId="1067" applyBorder="1" applyAlignment="1">
      <alignment horizontal="left" vertical="center"/>
    </xf>
    <xf numFmtId="0" fontId="120" fillId="0" borderId="2" xfId="1067" applyBorder="1" applyAlignment="1">
      <alignment horizontal="center" vertical="center" wrapText="1"/>
    </xf>
    <xf numFmtId="0" fontId="120" fillId="0" borderId="6" xfId="1067" applyBorder="1" applyAlignment="1">
      <alignment horizontal="center" vertical="center" wrapText="1"/>
    </xf>
    <xf numFmtId="0" fontId="120" fillId="0" borderId="2" xfId="1067" applyBorder="1" applyAlignment="1">
      <alignment horizontal="left" vertical="center"/>
    </xf>
    <xf numFmtId="49" fontId="120" fillId="0" borderId="2" xfId="1067" applyNumberFormat="1" applyBorder="1" applyAlignment="1">
      <alignment horizontal="left" vertical="center" wrapText="1"/>
    </xf>
    <xf numFmtId="0" fontId="120" fillId="0" borderId="2" xfId="1068" applyFont="1" applyBorder="1" applyAlignment="1">
      <alignment horizontal="left" vertical="center"/>
    </xf>
    <xf numFmtId="0" fontId="120" fillId="0" borderId="2" xfId="1068" applyFont="1" applyBorder="1" applyAlignment="1">
      <alignment horizontal="left" vertical="center" wrapText="1"/>
    </xf>
    <xf numFmtId="0" fontId="120" fillId="0" borderId="8" xfId="1067" applyBorder="1" applyAlignment="1">
      <alignment horizontal="left" vertical="center" wrapText="1"/>
    </xf>
    <xf numFmtId="0" fontId="120" fillId="6" borderId="2" xfId="1067" applyFill="1" applyBorder="1" applyAlignment="1">
      <alignment horizontal="left" vertical="center"/>
    </xf>
    <xf numFmtId="0" fontId="122" fillId="7" borderId="2" xfId="1067" applyFont="1" applyFill="1" applyBorder="1" applyAlignment="1">
      <alignment horizontal="left" vertical="center"/>
    </xf>
    <xf numFmtId="0" fontId="120" fillId="3" borderId="2" xfId="1067" applyFont="1" applyFill="1" applyBorder="1" applyAlignment="1">
      <alignment horizontal="left" vertical="center"/>
    </xf>
    <xf numFmtId="0" fontId="120" fillId="0" borderId="2" xfId="1067" applyFont="1" applyBorder="1" applyAlignment="1">
      <alignment horizontal="left" vertical="center"/>
    </xf>
    <xf numFmtId="0" fontId="120" fillId="0" borderId="0" xfId="1067" applyFont="1" applyAlignment="1">
      <alignment vertical="center"/>
    </xf>
    <xf numFmtId="0" fontId="120" fillId="3" borderId="2" xfId="1067" applyFont="1" applyFill="1" applyBorder="1" applyAlignment="1">
      <alignment horizontal="left" vertical="center" wrapText="1"/>
    </xf>
    <xf numFmtId="49" fontId="120" fillId="0" borderId="2" xfId="1067" applyNumberFormat="1" applyFont="1" applyBorder="1" applyAlignment="1">
      <alignment horizontal="left" vertical="center" wrapText="1"/>
    </xf>
    <xf numFmtId="0" fontId="120" fillId="0" borderId="8" xfId="1067" applyFont="1" applyBorder="1" applyAlignment="1">
      <alignment horizontal="left" vertical="center"/>
    </xf>
    <xf numFmtId="49" fontId="120" fillId="0" borderId="2" xfId="1067" applyNumberFormat="1" applyFont="1" applyBorder="1" applyAlignment="1">
      <alignment horizontal="left" vertical="center"/>
    </xf>
    <xf numFmtId="49" fontId="120" fillId="0" borderId="2" xfId="1067" applyNumberFormat="1" applyBorder="1" applyAlignment="1">
      <alignment horizontal="left" vertical="center"/>
    </xf>
    <xf numFmtId="0" fontId="120" fillId="3" borderId="2" xfId="1068" applyFont="1" applyFill="1" applyBorder="1" applyAlignment="1">
      <alignment horizontal="left" vertical="center" wrapText="1"/>
    </xf>
    <xf numFmtId="0" fontId="120" fillId="3" borderId="2" xfId="1068" applyFill="1" applyBorder="1" applyAlignment="1">
      <alignment horizontal="left" vertical="center"/>
    </xf>
    <xf numFmtId="0" fontId="120" fillId="0" borderId="2" xfId="1068" applyBorder="1" applyAlignment="1">
      <alignment horizontal="center" vertical="center"/>
    </xf>
    <xf numFmtId="0" fontId="120" fillId="0" borderId="2" xfId="1068" applyBorder="1" applyAlignment="1">
      <alignment horizontal="left" vertical="center"/>
    </xf>
    <xf numFmtId="49" fontId="120" fillId="0" borderId="2" xfId="1068" applyNumberFormat="1" applyFont="1" applyBorder="1" applyAlignment="1">
      <alignment horizontal="left" vertical="center"/>
    </xf>
    <xf numFmtId="49" fontId="120" fillId="0" borderId="2" xfId="1068" applyNumberFormat="1" applyFont="1" applyBorder="1" applyAlignment="1">
      <alignment horizontal="left" vertical="center" wrapText="1"/>
    </xf>
    <xf numFmtId="0" fontId="120" fillId="3" borderId="2" xfId="1068" applyFill="1" applyBorder="1" applyAlignment="1">
      <alignment horizontal="left" vertical="center" wrapText="1"/>
    </xf>
    <xf numFmtId="0" fontId="120" fillId="0" borderId="2" xfId="1068" applyNumberFormat="1" applyFont="1" applyBorder="1" applyAlignment="1">
      <alignment horizontal="left" vertical="center" wrapText="1"/>
    </xf>
    <xf numFmtId="0" fontId="120" fillId="0" borderId="5" xfId="1067" applyBorder="1" applyAlignment="1">
      <alignment horizontal="left" vertical="center"/>
    </xf>
    <xf numFmtId="0" fontId="120" fillId="0" borderId="2" xfId="1067" applyFont="1" applyBorder="1" applyAlignment="1">
      <alignment horizontal="left" vertical="center" wrapText="1"/>
    </xf>
    <xf numFmtId="0" fontId="123" fillId="3" borderId="2" xfId="1067" applyFont="1" applyFill="1" applyBorder="1" applyAlignment="1">
      <alignment horizontal="left" vertical="center" wrapText="1"/>
    </xf>
    <xf numFmtId="0" fontId="120" fillId="0" borderId="2" xfId="1067" applyNumberFormat="1" applyBorder="1" applyAlignment="1">
      <alignment horizontal="center" vertical="center" wrapText="1"/>
    </xf>
    <xf numFmtId="0" fontId="120" fillId="0" borderId="2" xfId="1067" applyFont="1" applyBorder="1" applyAlignment="1">
      <alignment horizontal="center" vertical="center"/>
    </xf>
    <xf numFmtId="0" fontId="120" fillId="0" borderId="0" xfId="1067" applyBorder="1" applyAlignment="1">
      <alignment vertical="center"/>
    </xf>
    <xf numFmtId="0" fontId="120" fillId="0" borderId="0" xfId="1067" applyFill="1" applyBorder="1" applyAlignment="1">
      <alignment vertical="center"/>
    </xf>
    <xf numFmtId="0" fontId="120" fillId="0" borderId="0" xfId="1067" applyBorder="1" applyAlignment="1">
      <alignment horizontal="center" vertical="center"/>
    </xf>
    <xf numFmtId="0" fontId="1" fillId="0" borderId="0" xfId="6" applyFont="1" applyBorder="1" applyAlignment="1">
      <alignment horizontal="left" vertical="center"/>
    </xf>
  </cellXfs>
  <cellStyles count="1069">
    <cellStyle name="_x0003_" xfId="7"/>
    <cellStyle name="          _x000d_&#10;386grabber=vga.3gr_x000d_&#10;" xfId="8"/>
    <cellStyle name="          _x000d_&#10;386grabber=vga.3gr_x000d_&#10; 2" xfId="9"/>
    <cellStyle name="          _x000d_&#10;386grabber=vga.3gr_x000d_&#10; 2 2" xfId="10"/>
    <cellStyle name="          _x000d_&#10;386grabber=vga.3gr_x000d_&#10; 3" xfId="11"/>
    <cellStyle name="          _x000d_&#10;386grabber=vga.3gr_x000d_&#10; 3 2" xfId="12"/>
    <cellStyle name="          _x000d_&#10;mouse.drv=lmouse.drv" xfId="13"/>
    <cellStyle name="          _x000d_&#10;mouse.drv=lmouse.drv 2" xfId="14"/>
    <cellStyle name="          _x000d_&#10;mouse.drv=lmouse.drv 3" xfId="15"/>
    <cellStyle name="_x0003_ 10" xfId="16"/>
    <cellStyle name="_x0003_ 10 2" xfId="17"/>
    <cellStyle name="_x0003_ 11" xfId="18"/>
    <cellStyle name="_x0003_ 11 2" xfId="19"/>
    <cellStyle name="_x0003_ 12" xfId="20"/>
    <cellStyle name="_x0003_ 12 2" xfId="21"/>
    <cellStyle name="_x0003_ 13" xfId="22"/>
    <cellStyle name="_x0003_ 13 2" xfId="23"/>
    <cellStyle name="_x0003_ 14" xfId="24"/>
    <cellStyle name="_x0003_ 14 2" xfId="25"/>
    <cellStyle name="_x0003_ 15" xfId="26"/>
    <cellStyle name="_x0003_ 15 2" xfId="27"/>
    <cellStyle name="_x0003_ 16" xfId="28"/>
    <cellStyle name="_x0003_ 16 2" xfId="29"/>
    <cellStyle name="_x0003_ 17" xfId="30"/>
    <cellStyle name="_x0003_ 17 2" xfId="31"/>
    <cellStyle name="_x0003_ 18" xfId="32"/>
    <cellStyle name="_x0003_ 18 2" xfId="33"/>
    <cellStyle name="_x0003_ 19" xfId="34"/>
    <cellStyle name="_x0003_ 19 2" xfId="35"/>
    <cellStyle name="_x0003_ 2" xfId="36"/>
    <cellStyle name="_x0003_ 2 2" xfId="37"/>
    <cellStyle name="_x0003_ 20" xfId="38"/>
    <cellStyle name="_x0003_ 20 2" xfId="39"/>
    <cellStyle name="_x0003_ 21" xfId="40"/>
    <cellStyle name="_x0003_ 21 2" xfId="41"/>
    <cellStyle name="_x0003_ 22" xfId="42"/>
    <cellStyle name="_x0003_ 22 2" xfId="43"/>
    <cellStyle name="_x0003_ 23" xfId="44"/>
    <cellStyle name="_x0003_ 23 2" xfId="45"/>
    <cellStyle name="_x0003_ 24" xfId="46"/>
    <cellStyle name="_x0003_ 24 2" xfId="47"/>
    <cellStyle name="_x0003_ 3" xfId="48"/>
    <cellStyle name="_x0003_ 3 2" xfId="49"/>
    <cellStyle name="_x0003_ 4" xfId="50"/>
    <cellStyle name="_x0003_ 4 2" xfId="51"/>
    <cellStyle name="_x0003_ 5" xfId="52"/>
    <cellStyle name="_x0003_ 5 2" xfId="53"/>
    <cellStyle name="_x0003_ 6" xfId="54"/>
    <cellStyle name="_x0003_ 6 2" xfId="55"/>
    <cellStyle name="_x0003_ 7" xfId="56"/>
    <cellStyle name="_x0003_ 7 2" xfId="57"/>
    <cellStyle name="_x0003_ 8" xfId="58"/>
    <cellStyle name="_x0003_ 8 2" xfId="59"/>
    <cellStyle name="_x0003_ 9" xfId="60"/>
    <cellStyle name="_x0003_ 9 2" xfId="61"/>
    <cellStyle name=" FY96" xfId="62"/>
    <cellStyle name=" FY96 2" xfId="63"/>
    <cellStyle name=" FY96 2 2" xfId="64"/>
    <cellStyle name=" FY96 3" xfId="65"/>
    <cellStyle name=" FY96 3 2" xfId="66"/>
    <cellStyle name="_x0011_&#10;_x0006__x0006__x0012_" xfId="67"/>
    <cellStyle name="_x0011_&#10;_x0006__x0006__x0012_ 2" xfId="68"/>
    <cellStyle name="_x0011_&#10;_x0006__x0006__x0012_ 2 2" xfId="69"/>
    <cellStyle name="_x0011_&#10;_x0006__x0006__x0012_ 3" xfId="70"/>
    <cellStyle name="_x0011_&#10;_x0006__x0006__x0012_ 3 2" xfId="71"/>
    <cellStyle name="&amp;A" xfId="72"/>
    <cellStyle name="&amp;A 2" xfId="73"/>
    <cellStyle name="&amp;A 2 2" xfId="74"/>
    <cellStyle name="&amp;A 3" xfId="75"/>
    <cellStyle name="&amp;A 3 2" xfId="76"/>
    <cellStyle name=")" xfId="77"/>
    <cellStyle name=") 2" xfId="78"/>
    <cellStyle name=") 2 2" xfId="79"/>
    <cellStyle name=") 3" xfId="80"/>
    <cellStyle name=") 3 2" xfId="81"/>
    <cellStyle name=")omma_9월경비 (2)_97회비 (2)_1월회비내역ͬ(2)" xfId="82"/>
    <cellStyle name="?? [0]_CODE (2)BU" xfId="83"/>
    <cellStyle name="??&amp;O" xfId="84"/>
    <cellStyle name="??&amp;O?&amp;H?" xfId="85"/>
    <cellStyle name="??&amp;O?&amp;H? 2" xfId="86"/>
    <cellStyle name="??&amp;O?&amp;H?_x0008__x000f__x0007_?_x0007__x0001__x0001_" xfId="87"/>
    <cellStyle name="??&amp;O?&amp;H?_x0008__x000f__x0007_?_x0007__x0001__x0001_ 2" xfId="88"/>
    <cellStyle name="??&amp;O?&amp;H?_x0008__x000f__x0007_?_x0007__x0001__x0001_ 2 2" xfId="89"/>
    <cellStyle name="??&amp;O?&amp;H?_x0008__x000f__x0007_?_x0007__x0001__x0001_ 3" xfId="90"/>
    <cellStyle name="??&amp;O?&amp;H?_x0008__x000f__x0007_?_x0007__x0001__x0001_ 3 2" xfId="91"/>
    <cellStyle name="??&amp;O?&amp;H?_x0008_??_x0007__x0001__x0001_" xfId="92"/>
    <cellStyle name="??&amp;O?&amp;H?_x0008_??_x0007__x0001__x0001_ 2" xfId="93"/>
    <cellStyle name="??&amp;O?&amp;H?_x0008_??_x0007__x0001__x0001_ 2 2" xfId="94"/>
    <cellStyle name="??&amp;O?&amp;H?_x0008_??_x0007__x0001__x0001_ 3" xfId="95"/>
    <cellStyle name="??&amp;O?&amp;H?_x0008_??_x0007__x0001__x0001_ 3 2" xfId="96"/>
    <cellStyle name="??&amp;O_BH_BOM_TOOL_list_for_PROTO_2nd_v0001_20050811" xfId="97"/>
    <cellStyle name="???? [0.00]_PRODUCT DETAIL Q1can " xfId="98"/>
    <cellStyle name="????_PRODUCT DETAIL Q1TAIL" xfId="99"/>
    <cellStyle name="??_ALGERIA MEETING" xfId="100"/>
    <cellStyle name="_◆ A.CRUISE UNIT" xfId="101"/>
    <cellStyle name="_◆ A.CRUISE UNIT 2" xfId="102"/>
    <cellStyle name="_◆ A.CRUISE UNIT 3" xfId="103"/>
    <cellStyle name="_1" xfId="104"/>
    <cellStyle name="_1 2" xfId="105"/>
    <cellStyle name="_1 2 2" xfId="106"/>
    <cellStyle name="_1 3" xfId="107"/>
    <cellStyle name="_1 3 2" xfId="108"/>
    <cellStyle name="_BH_STD_20070306" xfId="109"/>
    <cellStyle name="_BH_STD_20070306 2" xfId="110"/>
    <cellStyle name="_BH_STD_20070306 2 2" xfId="111"/>
    <cellStyle name="_BH_STD_20070306 3" xfId="112"/>
    <cellStyle name="_BH_STD_20070306 3 2" xfId="113"/>
    <cellStyle name="_Book1" xfId="114"/>
    <cellStyle name="_Book1 2" xfId="115"/>
    <cellStyle name="_Book1 2 2" xfId="116"/>
    <cellStyle name="_Book1 3" xfId="117"/>
    <cellStyle name="_Book1 3 2" xfId="118"/>
    <cellStyle name="_Book1_1" xfId="119"/>
    <cellStyle name="_Book1_1 2" xfId="120"/>
    <cellStyle name="_Book1_1 2 2" xfId="121"/>
    <cellStyle name="_Book1_1 3" xfId="122"/>
    <cellStyle name="_Book1_1 3 2" xfId="123"/>
    <cellStyle name="_GQ 성능개선관련 중량경감개발부품 현황(1127)(1)(1)" xfId="124"/>
    <cellStyle name="_LD 중량경감 방안_ENG MTG_3" xfId="125"/>
    <cellStyle name="_LD 중량경감 방안_ENG MTG_3 2" xfId="126"/>
    <cellStyle name="_LD 중량경감 방안_ENG MTG_3 3" xfId="127"/>
    <cellStyle name="_LD 중량경감 방안_INSULATOR_4" xfId="128"/>
    <cellStyle name="_LD 중량경감 방안_INSULATOR_4 2" xfId="129"/>
    <cellStyle name="_LD 중량경감 방안_INSULATOR_4 3" xfId="130"/>
    <cellStyle name="_PROJECT_CUR" xfId="131"/>
    <cellStyle name="_PROJECT_CUR 2" xfId="132"/>
    <cellStyle name="_PROJECT_CUR 2 2" xfId="133"/>
    <cellStyle name="_PROJECT_CUR 3" xfId="134"/>
    <cellStyle name="_PROJECT_CUR 3 2" xfId="135"/>
    <cellStyle name="_Variant_Table" xfId="136"/>
    <cellStyle name="_XMSVC_Variant_table_V101_20080724" xfId="137"/>
    <cellStyle name="_각사 생산성비교(10.9)" xfId="138"/>
    <cellStyle name="_각사 생산성비교(10.9) 2" xfId="139"/>
    <cellStyle name="_각사 생산성비교(10.9) 2 2" xfId="140"/>
    <cellStyle name="_각사 생산성비교(10.9) 3" xfId="141"/>
    <cellStyle name="_각사 생산성비교(10.9) 3 2" xfId="142"/>
    <cellStyle name="_국산화계획" xfId="143"/>
    <cellStyle name="_국산화계획 2" xfId="144"/>
    <cellStyle name="_국산화계획 3" xfId="145"/>
    <cellStyle name="_부품개발정책(보고중.0915)" xfId="146"/>
    <cellStyle name="_부품개발정책(보고중.0915) 2" xfId="147"/>
    <cellStyle name="_부품개발정책(보고중.0915) 2 2" xfId="148"/>
    <cellStyle name="_부품개발정책(보고중.0915) 3" xfId="149"/>
    <cellStyle name="_부품개발정책(보고중.0915) 3 2" xfId="150"/>
    <cellStyle name="_북경장님보고(0502)1200FULLVER(1)" xfId="151"/>
    <cellStyle name="_북경장님보고(0502)1200FULLVER(1) 2" xfId="152"/>
    <cellStyle name="_북경장님보고(0502)1200FULLVER(1) 3" xfId="153"/>
    <cellStyle name="_업무분장안0427" xfId="154"/>
    <cellStyle name="_업무분장안0427 2" xfId="155"/>
    <cellStyle name="_업무분장안0427 2 2" xfId="156"/>
    <cellStyle name="_업무분장안0427 3" xfId="157"/>
    <cellStyle name="_업무분장안0427 3 2" xfId="158"/>
    <cellStyle name="_업무분장안0427_1" xfId="159"/>
    <cellStyle name="_업무분장안0427_1 2" xfId="160"/>
    <cellStyle name="_업무분장안0427_1 2 2" xfId="161"/>
    <cellStyle name="_업무분장안0427_1 3" xfId="162"/>
    <cellStyle name="_업무분장안0427_1 3 2" xfId="163"/>
    <cellStyle name="_업무분장안0427_2" xfId="164"/>
    <cellStyle name="_업무분장안0427_2 2" xfId="165"/>
    <cellStyle name="_업무분장안0427_2 2 2" xfId="166"/>
    <cellStyle name="_업무분장안0427_2 3" xfId="167"/>
    <cellStyle name="_업무분장안0427_2 3 2" xfId="168"/>
    <cellStyle name="_업무분장안0427_3" xfId="169"/>
    <cellStyle name="_업무분장안0427_3 2" xfId="170"/>
    <cellStyle name="_업무분장안0427_3 2 2" xfId="171"/>
    <cellStyle name="_업무분장안0427_3 3" xfId="172"/>
    <cellStyle name="_업무분장안0427_3 3 2" xfId="173"/>
    <cellStyle name="_업무분장안0427_4" xfId="174"/>
    <cellStyle name="_업무분장안0427_4 2" xfId="175"/>
    <cellStyle name="_업무분장안0427_4 2 2" xfId="176"/>
    <cellStyle name="_업무분장안0427_4 3" xfId="177"/>
    <cellStyle name="_업무분장안0427_4 3 2" xfId="178"/>
    <cellStyle name="_업무분장안0427_5" xfId="179"/>
    <cellStyle name="_업무분장안0427_5 2" xfId="180"/>
    <cellStyle name="_업무분장안0427_5 2 2" xfId="181"/>
    <cellStyle name="_업무분장안0427_5 3" xfId="182"/>
    <cellStyle name="_업무분장안0427_5 3 2" xfId="183"/>
    <cellStyle name="_자료-본텍" xfId="184"/>
    <cellStyle name="_자료-본텍 2" xfId="185"/>
    <cellStyle name="_자료-본텍 3" xfId="186"/>
    <cellStyle name="_전창헌-1212-업무추진계획" xfId="187"/>
    <cellStyle name="_전창헌-1212-업무추진계획 2" xfId="188"/>
    <cellStyle name="_전창헌-1212-업무추진계획 2 2" xfId="189"/>
    <cellStyle name="_전창헌-1212-업무추진계획 3" xfId="190"/>
    <cellStyle name="_전창헌-1212-업무추진계획 3 2" xfId="191"/>
    <cellStyle name="_중장기전략신2" xfId="192"/>
    <cellStyle name="_카니발 02EM PMP 개발현황(1106)" xfId="193"/>
    <cellStyle name="_카니발 02EM PMP 개발현황(1106) 2" xfId="194"/>
    <cellStyle name="_카니발 02EM PMP 개발현황(1106) 3" xfId="195"/>
    <cellStyle name="_카니발 02EM&amp;MTS PMP 부품검사현황1" xfId="196"/>
    <cellStyle name="_카니발 02EM&amp;MTS PMP 부품검사현황1 2" xfId="197"/>
    <cellStyle name="_카니발 02EM&amp;MTS PMP 부품검사현황1 3" xfId="198"/>
    <cellStyle name="_카니발 02EM&amp;MTS PMP 부품검사현황1(1)" xfId="199"/>
    <cellStyle name="_카니발 02EM&amp;MTS PMP 부품검사현황1(1) 2" xfId="200"/>
    <cellStyle name="_카니발 02EM&amp;MTS PMP 부품검사현황1(1) 3" xfId="201"/>
    <cellStyle name="_파키스탄 수정 LAY OUT" xfId="202"/>
    <cellStyle name="_파키스탄 수정 LAY OUT 2" xfId="203"/>
    <cellStyle name="_파키스탄 수정 LAY OUT 2 2" xfId="204"/>
    <cellStyle name="_파키스탄 수정 LAY OUT 3" xfId="205"/>
    <cellStyle name="_파키스탄 수정 LAY OUT 3 2" xfId="206"/>
    <cellStyle name="_파키스탄 현황" xfId="207"/>
    <cellStyle name="_파키스탄 현황 2" xfId="208"/>
    <cellStyle name="_파키스탄 현황 2 2" xfId="209"/>
    <cellStyle name="_파키스탄 현황 3" xfId="210"/>
    <cellStyle name="_파키스탄 현황 3 2" xfId="211"/>
    <cellStyle name="¤@?e_TEST-1 " xfId="212"/>
    <cellStyle name="°iA¤Aa·A1_10¿u2WA¸ºI " xfId="213"/>
    <cellStyle name="°iA¤Aa·A2_10¿u2WA¸ºI " xfId="214"/>
    <cellStyle name="æØè [0.00]_PRODUCT DETAIL Q1" xfId="215"/>
    <cellStyle name="æØè_PRODUCT DETAIL Q1" xfId="216"/>
    <cellStyle name="ÊÝ [0.00]_PRODUCT DETAIL Q1" xfId="217"/>
    <cellStyle name="ÊÝ_PRODUCT DETAIL Q1" xfId="218"/>
    <cellStyle name="W_BOOKSHIP" xfId="219"/>
    <cellStyle name="0뾍R_x0005_?뾍b_x0005_" xfId="220"/>
    <cellStyle name="0뾍R_x0005_?뾍b_x0005_ 2" xfId="221"/>
    <cellStyle name="0뾍R_x0005_?뾍b_x0005_ 3" xfId="222"/>
    <cellStyle name="¼AU≫?XLS!check_filesche|_x0005_" xfId="223"/>
    <cellStyle name="¹eºÐA²_±aA¸" xfId="224"/>
    <cellStyle name="2)" xfId="225"/>
    <cellStyle name="2) 2" xfId="226"/>
    <cellStyle name="2) 2 2" xfId="227"/>
    <cellStyle name="2) 3" xfId="228"/>
    <cellStyle name="2) 3 2" xfId="229"/>
    <cellStyle name="95262" xfId="230"/>
    <cellStyle name="95262 2" xfId="231"/>
    <cellStyle name="95262 2 2" xfId="232"/>
    <cellStyle name="95262 3" xfId="233"/>
    <cellStyle name="95262 3 2" xfId="234"/>
    <cellStyle name="A¨­￠￢￠O [0]_¨uoAOCaA￠´¨oA¡io " xfId="235"/>
    <cellStyle name="A¨­￠￢￠O_¨uoAOCaA￠´¨oA¡io " xfId="236"/>
    <cellStyle name="AeE­ [0]_¡U¾EU￢ A¾COºn±³ " xfId="237"/>
    <cellStyle name="ÅëÈ­ [0]_¡Ú¾ÈÜ¬ Á¾ÇÕºñ±³ " xfId="238"/>
    <cellStyle name="AeE­ [0]_´U°eº° ±¸Aa¾E" xfId="239"/>
    <cellStyle name="ÅëÈ­ [0]_´Ü°èº° ±¸Ãà¾È" xfId="240"/>
    <cellStyle name="AeE­ [0]_¸i´U" xfId="241"/>
    <cellStyle name="ÅëÈ­ [0]_¥±- 2 " xfId="242"/>
    <cellStyle name="AeE­ [0]_°æAi≫cAc°i " xfId="243"/>
    <cellStyle name="ÅëÈ­ [0]_¼­½ÄÃ¼°è_ÅõÀÔ°èÈ¹ " xfId="244"/>
    <cellStyle name="AeE­ [0]_¼­½AA¼01_AoAO°eE¹ " xfId="245"/>
    <cellStyle name="ÅëÈ­ [0]_¼­½ÄÃ¼01_ÅõÀÔ°èÈ¹ " xfId="246"/>
    <cellStyle name="AeE­ [0]_¼­½AAI¶÷_AoAO°eE¹ " xfId="247"/>
    <cellStyle name="ÅëÈ­ [0]_¼­½ÄÀÏ¶÷_ÅõÀÔ°èÈ¹ " xfId="248"/>
    <cellStyle name="AeE­ [0]_¼oAOCaA¤½A≫o " xfId="249"/>
    <cellStyle name="ÅëÈ­ [0]_1.ÆÇ¸Å½ÇÀû " xfId="250"/>
    <cellStyle name="AeE­ [0]_1.SUMMARY " xfId="251"/>
    <cellStyle name="ÅëÈ­ [0]_1.SUMMARY " xfId="252"/>
    <cellStyle name="AeE­ [0]_2.CONCEPT " xfId="253"/>
    <cellStyle name="ÅëÈ­ [0]_2.CONCEPT " xfId="254"/>
    <cellStyle name="AeE­ [0]_3.MSCHEDULE¿μ¹R " xfId="255"/>
    <cellStyle name="ÅëÈ­ [0]_3PJTR°èÈ¹ " xfId="256"/>
    <cellStyle name="AeE­ [0]_4 " xfId="257"/>
    <cellStyle name="ÅëÈ­ [0]_4 " xfId="258"/>
    <cellStyle name="AeE­ [0]_5-3-3-1-1.≫y≫e±¸A¶ºÐ¼R-MAT'L¡­ " xfId="259"/>
    <cellStyle name="ÅëÈ­ [0]_6-3°æÀï·Â " xfId="260"/>
    <cellStyle name="AeE­ [0]_6-3°æAi·A _±¸¸A½CAu " xfId="261"/>
    <cellStyle name="ÅëÈ­ [0]_7.MASTER SCHEDULE " xfId="262"/>
    <cellStyle name="AeE­ [0]_96¾Æ½OBD " xfId="263"/>
    <cellStyle name="ÅëÈ­ [0]_À¯Çüº°ÀüÃ¼(¿ï»ê°øÀå)  " xfId="264"/>
    <cellStyle name="AeE­ [0]_A÷·E_CO¸RE­¾E " xfId="265"/>
    <cellStyle name="ÅëÈ­ [0]_ÀÎ¿ø°èÈ¹ " xfId="266"/>
    <cellStyle name="AeE­ [0]_AI¿ø¹× A¶A÷(96.5.2.) _±¸¸A½CAu " xfId="267"/>
    <cellStyle name="ÅëÈ­ [0]_ÃÑ°ýÇ¥ " xfId="268"/>
    <cellStyle name="AeE­ [0]_AN°yº¸°i-Aß°¡Ay°¨ " xfId="269"/>
    <cellStyle name="ÅëÈ­ [0]_ÃÖÁ¾ÀÏÁ¤ " xfId="270"/>
    <cellStyle name="AeE­ [0]_INQUIRY ¿μ¾÷AßAø " xfId="271"/>
    <cellStyle name="ÅëÈ­ [0]_lx-taxi " xfId="272"/>
    <cellStyle name="AeE­ [0]_lx-taxi _±¸¸A½CAu " xfId="273"/>
    <cellStyle name="ÅëÈ­ [0]_MKN-M1.1 " xfId="274"/>
    <cellStyle name="AeE­ [0]_ºÐ·u±a01_AoAO°eE¹ " xfId="275"/>
    <cellStyle name="ÅëÈ­ [0]_ºÐ·ù±â01_ÅõÀÔ°èÈ¹ " xfId="276"/>
    <cellStyle name="AeE­ [0]_ºÐ·u±a02_AoAO°eE¹ " xfId="277"/>
    <cellStyle name="ÅëÈ­ [0]_ºÐ·ù±â02_ÅõÀÔ°èÈ¹ " xfId="278"/>
    <cellStyle name="AeE­ [0]_ºÐ·u±a03_AoAO°eE¹ " xfId="279"/>
    <cellStyle name="ÅëÈ­ [0]_ºÐ·ù±â03_ÅõÀÔ°èÈ¹ " xfId="280"/>
    <cellStyle name="AeE­ [0]_ºÐ·u±aAØ_AoAO°eE¹ " xfId="281"/>
    <cellStyle name="ÅëÈ­ [0]_ºÐ·ù±âÁØ_ÅõÀÔ°èÈ¹ " xfId="282"/>
    <cellStyle name="AeE­ [0]_ºÐ·u±aE￡_AoAO°eE¹ " xfId="283"/>
    <cellStyle name="ÅëÈ­ [0]_ºÐ·ù±âÈ£_ÅõÀÔ°èÈ¹ " xfId="284"/>
    <cellStyle name="AeE­ [0]_SAMPLE " xfId="285"/>
    <cellStyle name="ÅëÈ­ [0]_SAMPLE " xfId="286"/>
    <cellStyle name="AeE­ [0]_Sheet1 (2)_1.SUMMARY " xfId="287"/>
    <cellStyle name="ÅëÈ­ [0]_Sheet1 (2)_1.SUMMARY " xfId="288"/>
    <cellStyle name="AeE­ [0]_Sheet1_XD AOA¾AIA¤ " xfId="289"/>
    <cellStyle name="ÅëÈ­ [0]_Sheet1_XD ÃÖÁ¾ÀÏÁ¤ " xfId="290"/>
    <cellStyle name="AeE­ [0]_SMG-CKD-d1.1 " xfId="291"/>
    <cellStyle name="ÅëÈ­ [0]_SMG-CKD-d1.1 " xfId="292"/>
    <cellStyle name="AeE­ [0]_μðAⓒAIA¤ " xfId="293"/>
    <cellStyle name="AeE­_¡U¾EU￢ A¾COºn±³ " xfId="294"/>
    <cellStyle name="ÅëÈ­_¡Ú¾ÈÜ¬ Á¾ÇÕºñ±³ " xfId="295"/>
    <cellStyle name="AeE­_´U°eº° ±¸Aa¾E" xfId="296"/>
    <cellStyle name="ÅëÈ­_´Ü°èº° ±¸Ãà¾È" xfId="297"/>
    <cellStyle name="AeE­_¸i´U" xfId="298"/>
    <cellStyle name="ÅëÈ­_¥±- 2 " xfId="299"/>
    <cellStyle name="AeE­_°æAi≫cAc°i " xfId="300"/>
    <cellStyle name="ÅëÈ­_¼­½ÄÃ¼°è_ÅõÀÔ°èÈ¹ " xfId="301"/>
    <cellStyle name="AeE­_¼­½AA¼01_AoAO°eE¹ " xfId="302"/>
    <cellStyle name="ÅëÈ­_¼­½ÄÃ¼01_ÅõÀÔ°èÈ¹ " xfId="303"/>
    <cellStyle name="AeE­_¼­½AAI¶÷_AoAO°eE¹ " xfId="304"/>
    <cellStyle name="ÅëÈ­_¼­½ÄÀÏ¶÷_ÅõÀÔ°èÈ¹ " xfId="305"/>
    <cellStyle name="AeE­_¼oAOCaA¤½A≫o " xfId="306"/>
    <cellStyle name="ÅëÈ­_1.ÆÇ¸Å½ÇÀû " xfId="307"/>
    <cellStyle name="AeE­_1.SUMMARY " xfId="308"/>
    <cellStyle name="ÅëÈ­_1.SUMMARY " xfId="309"/>
    <cellStyle name="AeE­_2.CONCEPT " xfId="310"/>
    <cellStyle name="ÅëÈ­_2.CONCEPT " xfId="311"/>
    <cellStyle name="AeE­_3.MSCHEDULE¿μ¹R " xfId="312"/>
    <cellStyle name="ÅëÈ­_3PJTR°èÈ¹ " xfId="313"/>
    <cellStyle name="AeE­_4 " xfId="314"/>
    <cellStyle name="ÅëÈ­_4 " xfId="315"/>
    <cellStyle name="AeE­_5-3-3-1-1.≫y≫e±¸A¶ºÐ¼R-MAT'L¡­ " xfId="316"/>
    <cellStyle name="ÅëÈ­_6-3°æÀï·Â " xfId="317"/>
    <cellStyle name="AeE­_6-3°æAi·A _±¸¸A½CAu " xfId="318"/>
    <cellStyle name="ÅëÈ­_7.MASTER SCHEDULE " xfId="319"/>
    <cellStyle name="AeE­_96¾Æ½OBD " xfId="320"/>
    <cellStyle name="ÅëÈ­_À¯Çüº°ÀüÃ¼(¿ï»ê°øÀå)  " xfId="321"/>
    <cellStyle name="AeE­_A÷·E_CO¸RE­¾E " xfId="322"/>
    <cellStyle name="ÅëÈ­_ÀÎ¿ø°èÈ¹ " xfId="323"/>
    <cellStyle name="AeE­_AI¿ø¹× A¶A÷(96.5.2.) _±¸¸A½CAu " xfId="324"/>
    <cellStyle name="ÅëÈ­_ÃÑ°ýÇ¥ " xfId="325"/>
    <cellStyle name="AeE­_AN°yº¸°i-Aß°¡Ay°¨ " xfId="326"/>
    <cellStyle name="ÅëÈ­_ÃÖÁ¾ÀÏÁ¤ " xfId="327"/>
    <cellStyle name="AeE­_INQUIRY ¿μ¾÷AßAø " xfId="328"/>
    <cellStyle name="ÅëÈ­_lx-taxi " xfId="329"/>
    <cellStyle name="AeE­_lx-taxi _±¸¸A½CAu " xfId="330"/>
    <cellStyle name="ÅëÈ­_MKN-M1.1 " xfId="331"/>
    <cellStyle name="AeE­_ºÐ·u±a01_AoAO°eE¹ " xfId="332"/>
    <cellStyle name="ÅëÈ­_ºÐ·ù±â01_ÅõÀÔ°èÈ¹ " xfId="333"/>
    <cellStyle name="AeE­_ºÐ·u±a02_AoAO°eE¹ " xfId="334"/>
    <cellStyle name="ÅëÈ­_ºÐ·ù±â02_ÅõÀÔ°èÈ¹ " xfId="335"/>
    <cellStyle name="AeE­_ºÐ·u±a03_AoAO°eE¹ " xfId="336"/>
    <cellStyle name="ÅëÈ­_ºÐ·ù±â03_ÅõÀÔ°èÈ¹ " xfId="337"/>
    <cellStyle name="AeE­_ºÐ·u±aAØ_AoAO°eE¹ " xfId="338"/>
    <cellStyle name="ÅëÈ­_ºÐ·ù±âÁØ_ÅõÀÔ°èÈ¹ " xfId="339"/>
    <cellStyle name="AeE­_ºÐ·u±aE￡_AoAO°eE¹ " xfId="340"/>
    <cellStyle name="ÅëÈ­_ºÐ·ù±âÈ£_ÅõÀÔ°èÈ¹ " xfId="341"/>
    <cellStyle name="AeE­_SAMPLE " xfId="342"/>
    <cellStyle name="ÅëÈ­_SAMPLE " xfId="343"/>
    <cellStyle name="AeE­_Sheet1 (2)_1.SUMMARY " xfId="344"/>
    <cellStyle name="ÅëÈ­_Sheet1 (2)_1.SUMMARY " xfId="345"/>
    <cellStyle name="AeE­_Sheet1_XD AOA¾AIA¤ " xfId="346"/>
    <cellStyle name="ÅëÈ­_Sheet1_XD ÃÖÁ¾ÀÏÁ¤ " xfId="347"/>
    <cellStyle name="AeE­_SMG-CKD-d1.1 " xfId="348"/>
    <cellStyle name="ÅëÈ­_SMG-CKD-d1.1 " xfId="349"/>
    <cellStyle name="AeE­_XG¿ø´UA§ " xfId="350"/>
    <cellStyle name="ÅëÈ­_XG¿ø´ÜÀ§ " xfId="351"/>
    <cellStyle name="AeE­_μðAⓒAIA¤ " xfId="352"/>
    <cellStyle name="AeE¡ⓒ [0]_¨uoAOCaA￠´¨oA¡io " xfId="353"/>
    <cellStyle name="AeE¡ⓒ_¨uoAOCaA￠´¨oA¡io " xfId="354"/>
    <cellStyle name="ALIGNMENT" xfId="355"/>
    <cellStyle name="AÞ¸¶ [0]_¡U¾EU￢ A¾COºn±³ " xfId="356"/>
    <cellStyle name="ÄÞ¸¶ [0]_¡Ú¾ÈÜ¬ Á¾ÇÕºñ±³ " xfId="357"/>
    <cellStyle name="AÞ¸¶ [0]_´U°eº° ±¸Aa¾E" xfId="358"/>
    <cellStyle name="ÄÞ¸¶ [0]_´Ü°èº° ±¸Ãà¾È" xfId="359"/>
    <cellStyle name="AÞ¸¶ [0]_¸i´U" xfId="360"/>
    <cellStyle name="ÄÞ¸¶ [0]_¥±- 2 " xfId="361"/>
    <cellStyle name="AÞ¸¶ [0]_°æAi≫cAc°i " xfId="362"/>
    <cellStyle name="ÄÞ¸¶ [0]_¼öÃâ½ÇÀû " xfId="363"/>
    <cellStyle name="AÞ¸¶ [0]_¼oAOCaA¤½A≫o " xfId="364"/>
    <cellStyle name="ÄÞ¸¶ [0]_1.SUMMARY " xfId="365"/>
    <cellStyle name="AÞ¸¶ [0]_1-5¿u " xfId="366"/>
    <cellStyle name="ÄÞ¸¶ [0]_2.CONCEPT " xfId="367"/>
    <cellStyle name="AÞ¸¶ [0]_3.MSCHEDULE¿μ¹R " xfId="368"/>
    <cellStyle name="ÄÞ¸¶ [0]_3¿ù´©°è " xfId="369"/>
    <cellStyle name="AÞ¸¶ [0]_3¿u´ⓒ°e " xfId="370"/>
    <cellStyle name="ÄÞ¸¶ [0]_3PJTR°èÈ¹ " xfId="371"/>
    <cellStyle name="AÞ¸¶ [0]_4 " xfId="372"/>
    <cellStyle name="ÄÞ¸¶ [0]_4 " xfId="373"/>
    <cellStyle name="AÞ¸¶ [0]_6-3°æAi·A " xfId="374"/>
    <cellStyle name="ÄÞ¸¶ [0]_6-3°æÀï·Â " xfId="375"/>
    <cellStyle name="AÞ¸¶ [0]_6-3°æAi·A _±¸¸A½CAu " xfId="376"/>
    <cellStyle name="ÄÞ¸¶ [0]_7.MASTER SCHEDULE " xfId="377"/>
    <cellStyle name="AÞ¸¶ [0]_96¾Æ½OBD " xfId="378"/>
    <cellStyle name="ÄÞ¸¶ [0]_À¯Çüº°ÀüÃ¼(¿ï»ê°øÀå)  " xfId="379"/>
    <cellStyle name="AÞ¸¶ [0]_A÷A¼¼³°e " xfId="380"/>
    <cellStyle name="ÄÞ¸¶ [0]_ÀÎ¿ø°èÈ¹ " xfId="381"/>
    <cellStyle name="AÞ¸¶ [0]_AI¿ø¹× A¶A÷(96.5.2.) _±¸¸A½CAu " xfId="382"/>
    <cellStyle name="ÄÞ¸¶ [0]_ÃÑ°ýÇ¥ " xfId="383"/>
    <cellStyle name="AÞ¸¶ [0]_AN°yº¸°i-Aß°¡Ay°¨ " xfId="384"/>
    <cellStyle name="ÄÞ¸¶ [0]_ÃÖÁ¾ÀÏÁ¤ " xfId="385"/>
    <cellStyle name="AÞ¸¶ [0]_DW °¡¸¶°¨ " xfId="386"/>
    <cellStyle name="ÄÞ¸¶ [0]_INQUIRY ¿µ¾÷ÃßÁø " xfId="387"/>
    <cellStyle name="AÞ¸¶ [0]_INQUIRY ¿μ¾÷AßAø " xfId="388"/>
    <cellStyle name="ÄÞ¸¶ [0]_lx-taxi " xfId="389"/>
    <cellStyle name="AÞ¸¶ [0]_lx-taxi _±¸¸A½CAu " xfId="390"/>
    <cellStyle name="ÄÞ¸¶ [0]_MKN-M1.1 " xfId="391"/>
    <cellStyle name="AÞ¸¶ [0]_SAMPLE " xfId="392"/>
    <cellStyle name="ÄÞ¸¶ [0]_SAMPLE " xfId="393"/>
    <cellStyle name="AÞ¸¶ [0]_Sheet1 (2)_1.SUMMARY " xfId="394"/>
    <cellStyle name="ÄÞ¸¶ [0]_Sheet1 (2)_1.SUMMARY " xfId="395"/>
    <cellStyle name="AÞ¸¶ [0]_Sheet1_XD AOA¾AIA¤ " xfId="396"/>
    <cellStyle name="ÄÞ¸¶ [0]_Sheet1_XD ÃÖÁ¾ÀÏÁ¤ " xfId="397"/>
    <cellStyle name="AÞ¸¶ [0]_SMG-CKD-d1.1 " xfId="398"/>
    <cellStyle name="ÄÞ¸¶ [0]_SMG-CKD-d1.1 " xfId="399"/>
    <cellStyle name="AÞ¸¶ [0]_TOTAL _HMC_B_XDFL_Material_tooling(20020820)" xfId="400"/>
    <cellStyle name="AÞ¸¶,_x0005__x0014_" xfId="401"/>
    <cellStyle name="AÞ¸¶_¡U¾EU￢ A¾COºn±³ " xfId="402"/>
    <cellStyle name="ÄÞ¸¶_¡Ú¾ÈÜ¬ Á¾ÇÕºñ±³ " xfId="403"/>
    <cellStyle name="AÞ¸¶_´U°eº° ±¸Aa¾E" xfId="404"/>
    <cellStyle name="ÄÞ¸¶_´Ü°èº° ±¸Ãà¾È" xfId="405"/>
    <cellStyle name="AÞ¸¶_¸i´U" xfId="406"/>
    <cellStyle name="ÄÞ¸¶_¥±- 2 " xfId="407"/>
    <cellStyle name="AÞ¸¶_°æAi≫cAc°i " xfId="408"/>
    <cellStyle name="ÄÞ¸¶_¼öÃâ½ÇÀû " xfId="409"/>
    <cellStyle name="AÞ¸¶_¼oAOCaA¤½A≫o " xfId="410"/>
    <cellStyle name="ÄÞ¸¶_1.SUMMARY " xfId="411"/>
    <cellStyle name="AÞ¸¶_2.CONCEPT " xfId="412"/>
    <cellStyle name="ÄÞ¸¶_2.CONCEPT " xfId="413"/>
    <cellStyle name="AÞ¸¶_3.MSCHEDULE¿μ¹R " xfId="414"/>
    <cellStyle name="ÄÞ¸¶_3PJTR°èÈ¹ " xfId="415"/>
    <cellStyle name="AÞ¸¶_4 " xfId="416"/>
    <cellStyle name="ÄÞ¸¶_4 " xfId="417"/>
    <cellStyle name="AÞ¸¶_6-3°æAi·A " xfId="418"/>
    <cellStyle name="ÄÞ¸¶_6-3°æÀï·Â " xfId="419"/>
    <cellStyle name="AÞ¸¶_6-3°æAi·A _±¸¸A½CAu " xfId="420"/>
    <cellStyle name="ÄÞ¸¶_7.MASTER SCHEDULE " xfId="421"/>
    <cellStyle name="AÞ¸¶_96¾Æ½OBD " xfId="422"/>
    <cellStyle name="ÄÞ¸¶_À¯Çüº°ÀüÃ¼(¿ï»ê°øÀå)  " xfId="423"/>
    <cellStyle name="AÞ¸¶_A÷A¼¼³°e " xfId="424"/>
    <cellStyle name="ÄÞ¸¶_ÀÎ¿ø°èÈ¹ " xfId="425"/>
    <cellStyle name="AÞ¸¶_AI¿ø¹× A¶A÷(96.5.2.) _±¸¸A½CAu " xfId="426"/>
    <cellStyle name="ÄÞ¸¶_ÃÑ°ýÇ¥ " xfId="427"/>
    <cellStyle name="AÞ¸¶_AN°yº¸°i-Aß°¡Ay°¨ " xfId="428"/>
    <cellStyle name="ÄÞ¸¶_ÃÖÁ¾ÀÏÁ¤ " xfId="429"/>
    <cellStyle name="AÞ¸¶_DW °¡¸¶°¨ " xfId="430"/>
    <cellStyle name="ÄÞ¸¶_INQUIRY ¿µ¾÷ÃßÁø " xfId="431"/>
    <cellStyle name="AÞ¸¶_INQUIRY ¿μ¾÷AßAø " xfId="432"/>
    <cellStyle name="ÄÞ¸¶_lx-taxi " xfId="433"/>
    <cellStyle name="AÞ¸¶_lx-taxi _±¸¸A½CAu " xfId="434"/>
    <cellStyle name="ÄÞ¸¶_MKN-M1.1 " xfId="435"/>
    <cellStyle name="AÞ¸¶_SAMPLE " xfId="436"/>
    <cellStyle name="ÄÞ¸¶_SAMPLE " xfId="437"/>
    <cellStyle name="AÞ¸¶_Sheet1 (2)_1.SUMMARY " xfId="438"/>
    <cellStyle name="ÄÞ¸¶_Sheet1 (2)_1.SUMMARY " xfId="439"/>
    <cellStyle name="AÞ¸¶_Sheet1_XD AOA¾AIA¤ " xfId="440"/>
    <cellStyle name="ÄÞ¸¶_Sheet1_XD ÃÖÁ¾ÀÏÁ¤ " xfId="441"/>
    <cellStyle name="AÞ¸¶_SMG-CKD-d1.1 " xfId="442"/>
    <cellStyle name="ÄÞ¸¶_SMG-CKD-d1.1 " xfId="443"/>
    <cellStyle name="AÞ¸¶_XG¿ø´UA§ " xfId="444"/>
    <cellStyle name="ÄÞ¸¶_XG¿ø´ÜÀ§ " xfId="445"/>
    <cellStyle name="AÞ¸¶_μðAⓒAIA¤ " xfId="446"/>
    <cellStyle name="Body" xfId="447"/>
    <cellStyle name="Box" xfId="448"/>
    <cellStyle name="BuiltOpt_Content" xfId="449"/>
    <cellStyle name="C_TITLE" xfId="450"/>
    <cellStyle name="C¡IA¨ª_¡Æ￠R¨uO￠￢¡ÆAIA￠´_￥iⓒ￡A¨IAIA￠´ " xfId="451"/>
    <cellStyle name="C￥AØ_ 10AE " xfId="452"/>
    <cellStyle name="Ç¥ÁØ_¡ßFO ÅõÀÚºñºñ±³ " xfId="453"/>
    <cellStyle name="C￥AØ_´U°eº° ±¸Aa¾E" xfId="454"/>
    <cellStyle name="Ç¥ÁØ_´Ü°èº° ±¸Ãà¾È" xfId="455"/>
    <cellStyle name="C￥AØ_¸i´U" xfId="456"/>
    <cellStyle name="Ç¥ÁØ_¸ñÂ÷ " xfId="457"/>
    <cellStyle name="C￥AØ_¸nA÷ _±¸¸A½CAu " xfId="458"/>
    <cellStyle name="Ç¥ÁØ_¿µ¾÷ÇöÈ² " xfId="459"/>
    <cellStyle name="C￥AØ_¿ø°¡(AU·a¼oAy) " xfId="460"/>
    <cellStyle name="Ç¥ÁØ_±â¾È " xfId="461"/>
    <cellStyle name="C￥AØ_±aAØ " xfId="462"/>
    <cellStyle name="Ç¥ÁØ_±âÁØ " xfId="463"/>
    <cellStyle name="C￥AØ_≫c¾÷°³¹ßÆA_10¿u2WA¸ºI " xfId="464"/>
    <cellStyle name="Ç¥ÁØ_°¡¼Ö¸°ÀÏÁ¤_µðÁ©ÀÏÁ¤ " xfId="465"/>
    <cellStyle name="C￥AØ_°¡¼O¸°AIA¤_μðAⓒAIA¤ " xfId="466"/>
    <cellStyle name="Ç¥ÁØ_°³¹ßÀÏÁ¤ " xfId="467"/>
    <cellStyle name="C￥AØ_°³¹ßAIA¤  (2)_°³¹ßAIA¤ " xfId="468"/>
    <cellStyle name="Ç¥ÁØ_°³¹ßÀÏÁ¤  (2)_°³¹ßÀÏÁ¤ " xfId="469"/>
    <cellStyle name="C￥AØ_°æAi≫cAc°i " xfId="470"/>
    <cellStyle name="Ç¥ÁØ_¼öÀÔÇàÁ¤½Å»ó " xfId="471"/>
    <cellStyle name="C￥AØ_¼oAOCaA¤½A≫o " xfId="472"/>
    <cellStyle name="Ç¥ÁØ_½ÇÂ÷Á¶°Ç " xfId="473"/>
    <cellStyle name="C￥AØ_½CA÷A¶°C _±¸¸A½CAu " xfId="474"/>
    <cellStyle name="Ç¥ÁØ_1.ÆÇ¸Å½ÇÀû " xfId="475"/>
    <cellStyle name="C￥AØ_1.SUMMARY " xfId="476"/>
    <cellStyle name="Ç¥ÁØ_1.SUMMARY " xfId="477"/>
    <cellStyle name="C￥AØ_1112_10¿u2WA¸ºI " xfId="478"/>
    <cellStyle name="Ç¥ÁØ_1Â÷ ¼³°è¿ø°¡ºÐ¼®_KDº¯µ¿ " xfId="479"/>
    <cellStyle name="C￥AØ_1A÷ ¼³°e¿ø°¡ºÐ¼R_KDº?μ¿ " xfId="480"/>
    <cellStyle name="Ç¥ÁØ_2.0GLS_¿ø´ÜÀ§ " xfId="481"/>
    <cellStyle name="C￥AØ_2.5GLS_¿ø´UA§ " xfId="482"/>
    <cellStyle name="Ç¥ÁØ_2.5GLS_¿ø´ÜÀ§ " xfId="483"/>
    <cellStyle name="C￥AØ_2¿uA¶¸³ " xfId="484"/>
    <cellStyle name="Ç¥ÁØ_3PJTR°èÈ¹ " xfId="485"/>
    <cellStyle name="C￥AØ_4 " xfId="486"/>
    <cellStyle name="Ç¥ÁØ_4 " xfId="487"/>
    <cellStyle name="C￥AØ_5-1±¤°i " xfId="488"/>
    <cellStyle name="Ç¥ÁØ_5-1±¤°í " xfId="489"/>
    <cellStyle name="C￥AØ_5-3-3-1-1.≫y≫e±¸A¶ºÐ¼R-MAT'L¡­ " xfId="490"/>
    <cellStyle name="Ç¥ÁØ_5-4 INDIRECT EP" xfId="491"/>
    <cellStyle name="C￥AØ_6-3°æAi·A _±¸¸A½CAu " xfId="492"/>
    <cellStyle name="Ç¥ÁØ_7.MASTER SCHEDULE " xfId="493"/>
    <cellStyle name="C￥AØ_96¾Æ½OBD " xfId="494"/>
    <cellStyle name="Ç¥ÁØ_96ÀÎ¿ø°è2 " xfId="495"/>
    <cellStyle name="C￥AØ_96AI¿ø°O 3 " xfId="496"/>
    <cellStyle name="Ç¥ÁØ_96ÀÎ¿ø°Ô 3 " xfId="497"/>
    <cellStyle name="C￥AØ_A|¾E½CAu" xfId="498"/>
    <cellStyle name="Ç¥ÁØ_Á¶Á÷µµ(12.31) " xfId="499"/>
    <cellStyle name="C￥AØ_A¶A÷μμ(12.31) " xfId="500"/>
    <cellStyle name="Ç¥ÁØ_Ã·ºÎ2 " xfId="501"/>
    <cellStyle name="C￥AØ_A1A¤A¡ " xfId="502"/>
    <cellStyle name="Ç¥ÁØ_ÀÎ¿ø¹× Á¶Á÷(96.5.2.) " xfId="503"/>
    <cellStyle name="C￥AØ_AI¿ø¹× A¶A÷(96.5.2.) _±¸¸A½CAu " xfId="504"/>
    <cellStyle name="Ç¥ÁØ_ÀÏ¹Ý»çÇ×check list " xfId="505"/>
    <cellStyle name="C￥AØ_AO¿aITEMA÷AIºn±³-2_AuEA A÷AIºn±³ " xfId="506"/>
    <cellStyle name="Ç¥ÁØ_ÁÖ¿äITEMÂ÷ÀÌºñ±³-2_ÀüÈÄ Â÷ÀÌºñ±³ " xfId="507"/>
    <cellStyle name="C￥AØ_Ao¿øCoE² " xfId="508"/>
    <cellStyle name="Ç¥ÁØ_ÃÖÁ¾ÀÏÁ¤ " xfId="509"/>
    <cellStyle name="C￥AØ_AoAUºn(ºI¼­º°,°eA¤º°) " xfId="510"/>
    <cellStyle name="Ç¥ÁØ_ÅõÀÚºñ(ºÎ¼­º°,°èÁ¤º°) " xfId="511"/>
    <cellStyle name="C￥AØ_Aß±a≫y≫e°eE¹ " xfId="512"/>
    <cellStyle name="Ç¥ÁØ_ÀüÈÄ Â÷ÀÌºñ±³ " xfId="513"/>
    <cellStyle name="C￥AØ_AuEAITEMA÷AIºn±³-1 " xfId="514"/>
    <cellStyle name="Ç¥ÁØ_ÀüÈÄITEMÂ÷ÀÌºñ±³-1 " xfId="515"/>
    <cellStyle name="C￥AØ_AuEAITEMA÷AIºn±³-2 " xfId="516"/>
    <cellStyle name="Ç¥ÁØ_ÀüÈÄITEMÂ÷ÀÌºñ±³-2 " xfId="517"/>
    <cellStyle name="C￥AØ_Ay°eC￥(2¿u) " xfId="518"/>
    <cellStyle name="Ç¥ÁØ_BRK¿ø´Ü.XLS " xfId="519"/>
    <cellStyle name="C￥AØ_C￥1_¿ø´UA§ " xfId="520"/>
    <cellStyle name="Ç¥ÁØ_Ç¥1_¿ø´ÜÀ§ " xfId="521"/>
    <cellStyle name="C￥AØ_C￥2_¿ø´UA§ " xfId="522"/>
    <cellStyle name="Ç¥ÁØ_Ç¥2_¿ø´ÜÀ§ " xfId="523"/>
    <cellStyle name="C￥AØ_C￥3_¿ø´UA§ " xfId="524"/>
    <cellStyle name="Ç¥ÁØ_Ç¥3_¿ø´ÜÀ§ " xfId="525"/>
    <cellStyle name="C￥AØ_C￥4_¿ø´UA§ " xfId="526"/>
    <cellStyle name="Ç¥ÁØ_Ç¥4_¿ø´ÜÀ§ " xfId="527"/>
    <cellStyle name="C￥AØ_C￥Ao " xfId="528"/>
    <cellStyle name="Ç¥ÁØ_CON¿ø´Ü.XLS " xfId="529"/>
    <cellStyle name="C￥AØ_CuA¶Au_1_10¿u2WA¸ºI " xfId="530"/>
    <cellStyle name="Ç¥ÁØ_ÇùÁ¶Àü_96°èÈ¹ " xfId="531"/>
    <cellStyle name="C￥AØ_CuA¶Au_AoAO°eE¹ " xfId="532"/>
    <cellStyle name="Ç¥ÁØ_ÇùÁ¶Àü_ÅõÀÔ°èÈ¹ " xfId="533"/>
    <cellStyle name="C￥AØ_F006-1A÷ " xfId="534"/>
    <cellStyle name="Ç¥ÁØ_H1 ´ë XG ¿ø´ÜÀ§ " xfId="535"/>
    <cellStyle name="C￥AØ_H1VSXGAßA¤¿ø´UA§_¿ø´UA§ " xfId="536"/>
    <cellStyle name="Ç¥ÁØ_H1VSXGÃßÁ¤¿ø´ÜÀ§_¿ø´ÜÀ§ " xfId="537"/>
    <cellStyle name="C￥AØ_KD LIST_¿ø´UA§ " xfId="538"/>
    <cellStyle name="Ç¥ÁØ_KD LIST_¿ø´ÜÀ§ " xfId="539"/>
    <cellStyle name="C￥AØ_KD LIST_AuEA A÷AIºn±³ " xfId="540"/>
    <cellStyle name="Ç¥ÁØ_KD LIST_ÀüÈÄ Â÷ÀÌºñ±³ " xfId="541"/>
    <cellStyle name="C￥AØ_KPI¾÷A¼ " xfId="542"/>
    <cellStyle name="Ç¥ÁØ_LX Â÷ÀÌºñ±³_ÀüÈÄ Â÷ÀÌºñ±³ " xfId="543"/>
    <cellStyle name="C￥AØ_LXLZ3.0 " xfId="544"/>
    <cellStyle name="Ç¥ÁØ_LXLZ3.0 " xfId="545"/>
    <cellStyle name="C￥AØ_LXLZ3.5 " xfId="546"/>
    <cellStyle name="Ç¥ÁØ_LXLZ3.5 " xfId="547"/>
    <cellStyle name="C￥AØ_LXLZ4.5 " xfId="548"/>
    <cellStyle name="Ç¥ÁØ_LXLZ4.5 " xfId="549"/>
    <cellStyle name="C￥AØ_LXLZEXH_AuEA A÷AIºn±³ " xfId="550"/>
    <cellStyle name="Ç¥ÁØ_LXLZEXH_ÀüÈÄ Â÷ÀÌºñ±³ " xfId="551"/>
    <cellStyle name="C￥AØ_lx-taxi " xfId="552"/>
    <cellStyle name="Ç¥ÁØ_lx-taxi " xfId="553"/>
    <cellStyle name="C￥AØ_lx-taxi _±¸¸A½CAu " xfId="554"/>
    <cellStyle name="Ç¥ÁØ_LZ3.5´ë4.5_ÀüÈÄ Â÷ÀÌºñ±³ " xfId="555"/>
    <cellStyle name="C￥AØ_M105CDT " xfId="556"/>
    <cellStyle name="Ç¥ÁØ_MHPORTER " xfId="557"/>
    <cellStyle name="C￥AØ_MKN-M1.1 " xfId="558"/>
    <cellStyle name="Ç¥ÁØ_MKN-M1.1 " xfId="559"/>
    <cellStyle name="C￥AØ_º¸°i_KDº?μ¿ " xfId="560"/>
    <cellStyle name="Ç¥ÁØ_º¸°í_KDº¯µ¿ " xfId="561"/>
    <cellStyle name="C￥AØ_º≫ºIA¶A÷ " xfId="562"/>
    <cellStyle name="Ç¥ÁØ_ºñ±³    " xfId="563"/>
    <cellStyle name="C￥AØ_ORDER (I)_PRINT_0404_10¿u2WA¸ºI " xfId="564"/>
    <cellStyle name="Ç¥ÁØ_RDTR99ML " xfId="565"/>
    <cellStyle name="C￥AØ_SMG-CKD-d1.1 " xfId="566"/>
    <cellStyle name="Ç¥ÁØ_SMG-CKD-d1.1 " xfId="567"/>
    <cellStyle name="C￥AØ_V10 VARIATION MODEL SOP TIMING " xfId="568"/>
    <cellStyle name="Ç¥ÁØ_WIPER " xfId="569"/>
    <cellStyle name="C￥AØ_WIRING _±¸¸A½CAu " xfId="570"/>
    <cellStyle name="Ç¥ÁØ_XD ÃÖÁ¾ÀÏÁ¤ " xfId="571"/>
    <cellStyle name="C￥AØ_XG¿ø´UA§ " xfId="572"/>
    <cellStyle name="Ç¥ÁØ_XG¿ø´ÜÀ§ " xfId="573"/>
    <cellStyle name="C￥AØ_XG¿ø´UA§(2A÷°e≫e) " xfId="574"/>
    <cellStyle name="Ç¥ÁØ_XG3Â÷°è»ê¿ø´ÜÀ§ " xfId="575"/>
    <cellStyle name="C￥AØ_XG3A÷°e≫e¿ø´UA§ " xfId="576"/>
    <cellStyle name="category" xfId="577"/>
    <cellStyle name="CombinedVol_Data" xfId="578"/>
    <cellStyle name="Comma  - Style1" xfId="579"/>
    <cellStyle name="comma zerodec" xfId="580"/>
    <cellStyle name="comma zerodec 2" xfId="581"/>
    <cellStyle name="comma zerodec 2 2" xfId="582"/>
    <cellStyle name="comma zerodec 3" xfId="583"/>
    <cellStyle name="comma zerodec 3 2" xfId="584"/>
    <cellStyle name="Cost" xfId="585"/>
    <cellStyle name="Curren - Style2" xfId="586"/>
    <cellStyle name="Currency1" xfId="587"/>
    <cellStyle name="Dollar (zero dec)" xfId="588"/>
    <cellStyle name="Dollar (zero dec) 2" xfId="589"/>
    <cellStyle name="Dollar (zero dec) 2 2" xfId="590"/>
    <cellStyle name="Dollar (zero dec) 3" xfId="591"/>
    <cellStyle name="Dollar (zero dec) 3 2" xfId="592"/>
    <cellStyle name="Edited_Data" xfId="593"/>
    <cellStyle name="ᲲéᴲéᶲéḲéẲéἲéᾲé′é₲éℲé↲é" xfId="594"/>
    <cellStyle name="ᲲéᴲéᶲéḲéẲéἲéᾲé′é₲éℲé↲é 2" xfId="595"/>
    <cellStyle name="ᲲéᴲéᶲéḲéẲéἲéᾲé′é₲éℲé↲é 2 2" xfId="596"/>
    <cellStyle name="ᲲéᴲéᶲéḲéẲéἲéᾲé′é₲éℲé↲é 3" xfId="597"/>
    <cellStyle name="ᲲéᴲéᶲéḲéẲéἲéᾲé′é₲éℲé↲é 3 2" xfId="598"/>
    <cellStyle name="Estimated_Data" xfId="599"/>
    <cellStyle name="Euro" xfId="600"/>
    <cellStyle name="Forecast_Data" xfId="601"/>
    <cellStyle name="Grey" xfId="602"/>
    <cellStyle name="HEADER" xfId="603"/>
    <cellStyle name="Header1" xfId="604"/>
    <cellStyle name="Header2" xfId="605"/>
    <cellStyle name="Hyperlink_MRS_History_Vorlage" xfId="1"/>
    <cellStyle name="iles|_x0005_h" xfId="606"/>
    <cellStyle name="iles|_x0005_h 2" xfId="607"/>
    <cellStyle name="iles|_x0005_h 2 2" xfId="608"/>
    <cellStyle name="iles|_x0005_h 3" xfId="609"/>
    <cellStyle name="iles|_x0005_h 3 2" xfId="610"/>
    <cellStyle name="Input [yellow]" xfId="611"/>
    <cellStyle name="Item_Current" xfId="612"/>
    <cellStyle name="LAY-OUT" xfId="613"/>
    <cellStyle name="LAY-OUT 2" xfId="614"/>
    <cellStyle name="LAY-OUT 2 2" xfId="615"/>
    <cellStyle name="LAY-OUT 3" xfId="616"/>
    <cellStyle name="LAY-OUT 3 2" xfId="617"/>
    <cellStyle name="les" xfId="618"/>
    <cellStyle name="les 2" xfId="619"/>
    <cellStyle name="les 2 2" xfId="620"/>
    <cellStyle name="les 3" xfId="621"/>
    <cellStyle name="les 3 2" xfId="622"/>
    <cellStyle name="Model" xfId="623"/>
    <cellStyle name="no dec" xfId="624"/>
    <cellStyle name="Normal - Style1" xfId="625"/>
    <cellStyle name="Normal - Style1 2" xfId="626"/>
    <cellStyle name="Normal - Style1 2 2" xfId="627"/>
    <cellStyle name="Normal - Style1 3" xfId="628"/>
    <cellStyle name="Normal - Style1 3 2" xfId="629"/>
    <cellStyle name="Normal 10" xfId="630"/>
    <cellStyle name="Normal 10 2" xfId="631"/>
    <cellStyle name="Normal 10 2 2" xfId="881"/>
    <cellStyle name="Normal 10 2 2 2" xfId="978"/>
    <cellStyle name="Normal 10 2 3" xfId="880"/>
    <cellStyle name="Normal 10 2 4" xfId="977"/>
    <cellStyle name="Normal 10 3" xfId="882"/>
    <cellStyle name="Normal 10 3 2" xfId="979"/>
    <cellStyle name="Normal 10 4" xfId="879"/>
    <cellStyle name="Normal 10 5" xfId="976"/>
    <cellStyle name="Normal 11" xfId="632"/>
    <cellStyle name="Normal 11 2" xfId="633"/>
    <cellStyle name="Normal 11 2 2" xfId="885"/>
    <cellStyle name="Normal 11 2 2 2" xfId="982"/>
    <cellStyle name="Normal 11 2 3" xfId="884"/>
    <cellStyle name="Normal 11 2 4" xfId="981"/>
    <cellStyle name="Normal 11 3" xfId="886"/>
    <cellStyle name="Normal 11 3 2" xfId="983"/>
    <cellStyle name="Normal 11 4" xfId="883"/>
    <cellStyle name="Normal 11 5" xfId="980"/>
    <cellStyle name="Normal 12" xfId="634"/>
    <cellStyle name="Normal 12 2" xfId="635"/>
    <cellStyle name="Normal 12 2 2" xfId="889"/>
    <cellStyle name="Normal 12 2 2 2" xfId="986"/>
    <cellStyle name="Normal 12 2 3" xfId="888"/>
    <cellStyle name="Normal 12 2 4" xfId="985"/>
    <cellStyle name="Normal 12 3" xfId="890"/>
    <cellStyle name="Normal 12 3 2" xfId="987"/>
    <cellStyle name="Normal 12 4" xfId="887"/>
    <cellStyle name="Normal 12 5" xfId="984"/>
    <cellStyle name="Normal 13" xfId="636"/>
    <cellStyle name="Normal 14" xfId="637"/>
    <cellStyle name="Normal 14 2" xfId="891"/>
    <cellStyle name="Normal 14 3" xfId="988"/>
    <cellStyle name="Normal 15" xfId="892"/>
    <cellStyle name="Normal 15 2" xfId="989"/>
    <cellStyle name="Normal 16" xfId="893"/>
    <cellStyle name="Normal 16 2" xfId="990"/>
    <cellStyle name="Normal 17" xfId="878"/>
    <cellStyle name="Normal 18" xfId="964"/>
    <cellStyle name="Normal 19" xfId="965"/>
    <cellStyle name="Normal 2" xfId="4"/>
    <cellStyle name="Normal 2 12" xfId="974"/>
    <cellStyle name="Normal 2 2" xfId="638"/>
    <cellStyle name="Normal 2 2 2" xfId="639"/>
    <cellStyle name="Normal 2 2 2 2" xfId="640"/>
    <cellStyle name="Normal 2 2 2 2 2" xfId="898"/>
    <cellStyle name="Normal 2 2 2 2 2 2" xfId="995"/>
    <cellStyle name="Normal 2 2 2 2 3" xfId="897"/>
    <cellStyle name="Normal 2 2 2 2 4" xfId="994"/>
    <cellStyle name="Normal 2 2 2 3" xfId="899"/>
    <cellStyle name="Normal 2 2 2 3 2" xfId="996"/>
    <cellStyle name="Normal 2 2 2 4" xfId="896"/>
    <cellStyle name="Normal 2 2 2 5" xfId="993"/>
    <cellStyle name="Normal 2 2 3" xfId="641"/>
    <cellStyle name="Normal 2 2 3 2" xfId="901"/>
    <cellStyle name="Normal 2 2 3 2 2" xfId="998"/>
    <cellStyle name="Normal 2 2 3 3" xfId="900"/>
    <cellStyle name="Normal 2 2 3 4" xfId="997"/>
    <cellStyle name="Normal 2 2 4" xfId="902"/>
    <cellStyle name="Normal 2 2 4 2" xfId="999"/>
    <cellStyle name="Normal 2 2 5" xfId="895"/>
    <cellStyle name="Normal 2 2 6" xfId="992"/>
    <cellStyle name="Normal 2 3" xfId="642"/>
    <cellStyle name="Normal 2 3 2" xfId="643"/>
    <cellStyle name="Normal 2 3 2 2" xfId="644"/>
    <cellStyle name="Normal 2 3 2 2 2" xfId="906"/>
    <cellStyle name="Normal 2 3 2 2 2 2" xfId="1003"/>
    <cellStyle name="Normal 2 3 2 2 3" xfId="905"/>
    <cellStyle name="Normal 2 3 2 2 4" xfId="1002"/>
    <cellStyle name="Normal 2 3 2 3" xfId="907"/>
    <cellStyle name="Normal 2 3 2 3 2" xfId="1004"/>
    <cellStyle name="Normal 2 3 2 4" xfId="904"/>
    <cellStyle name="Normal 2 3 2 5" xfId="1001"/>
    <cellStyle name="Normal 2 3 3" xfId="645"/>
    <cellStyle name="Normal 2 3 3 2" xfId="909"/>
    <cellStyle name="Normal 2 3 3 2 2" xfId="1006"/>
    <cellStyle name="Normal 2 3 3 3" xfId="908"/>
    <cellStyle name="Normal 2 3 3 4" xfId="1005"/>
    <cellStyle name="Normal 2 3 4" xfId="910"/>
    <cellStyle name="Normal 2 3 4 2" xfId="1007"/>
    <cellStyle name="Normal 2 3 5" xfId="903"/>
    <cellStyle name="Normal 2 3 6" xfId="1000"/>
    <cellStyle name="Normal 2 4" xfId="646"/>
    <cellStyle name="Normal 2 4 2" xfId="647"/>
    <cellStyle name="Normal 2 4 2 2" xfId="913"/>
    <cellStyle name="Normal 2 4 2 2 2" xfId="1010"/>
    <cellStyle name="Normal 2 4 2 3" xfId="912"/>
    <cellStyle name="Normal 2 4 2 4" xfId="1009"/>
    <cellStyle name="Normal 2 4 3" xfId="914"/>
    <cellStyle name="Normal 2 4 3 2" xfId="1011"/>
    <cellStyle name="Normal 2 4 4" xfId="911"/>
    <cellStyle name="Normal 2 4 5" xfId="1008"/>
    <cellStyle name="Normal 2 5" xfId="648"/>
    <cellStyle name="Normal 2 5 2" xfId="916"/>
    <cellStyle name="Normal 2 5 2 2" xfId="1013"/>
    <cellStyle name="Normal 2 5 3" xfId="915"/>
    <cellStyle name="Normal 2 5 4" xfId="1012"/>
    <cellStyle name="Normal 2 6" xfId="917"/>
    <cellStyle name="Normal 2 7" xfId="894"/>
    <cellStyle name="Normal 2 8" xfId="991"/>
    <cellStyle name="Normal 20" xfId="975"/>
    <cellStyle name="Normal 21" xfId="1058"/>
    <cellStyle name="Normal 22" xfId="1060"/>
    <cellStyle name="Normal 23" xfId="1062"/>
    <cellStyle name="Normal 24" xfId="1065"/>
    <cellStyle name="Normal 25" xfId="1067"/>
    <cellStyle name="Normal 3" xfId="3"/>
    <cellStyle name="Normal 3 2" xfId="649"/>
    <cellStyle name="Normal 3 2 2" xfId="650"/>
    <cellStyle name="Normal 3 2 2 2" xfId="651"/>
    <cellStyle name="Normal 3 2 2 2 2" xfId="922"/>
    <cellStyle name="Normal 3 2 2 2 2 2" xfId="1018"/>
    <cellStyle name="Normal 3 2 2 2 3" xfId="921"/>
    <cellStyle name="Normal 3 2 2 2 4" xfId="1017"/>
    <cellStyle name="Normal 3 2 2 3" xfId="923"/>
    <cellStyle name="Normal 3 2 2 3 2" xfId="1019"/>
    <cellStyle name="Normal 3 2 2 4" xfId="920"/>
    <cellStyle name="Normal 3 2 2 5" xfId="1016"/>
    <cellStyle name="Normal 3 2 3" xfId="652"/>
    <cellStyle name="Normal 3 2 3 2" xfId="925"/>
    <cellStyle name="Normal 3 2 3 2 2" xfId="1021"/>
    <cellStyle name="Normal 3 2 3 3" xfId="924"/>
    <cellStyle name="Normal 3 2 3 4" xfId="1020"/>
    <cellStyle name="Normal 3 2 4" xfId="926"/>
    <cellStyle name="Normal 3 2 4 2" xfId="1022"/>
    <cellStyle name="Normal 3 2 5" xfId="919"/>
    <cellStyle name="Normal 3 2 6" xfId="1015"/>
    <cellStyle name="Normal 3 3" xfId="653"/>
    <cellStyle name="Normal 3 3 2" xfId="654"/>
    <cellStyle name="Normal 3 3 2 2" xfId="655"/>
    <cellStyle name="Normal 3 3 2 2 2" xfId="930"/>
    <cellStyle name="Normal 3 3 2 2 2 2" xfId="1026"/>
    <cellStyle name="Normal 3 3 2 2 3" xfId="929"/>
    <cellStyle name="Normal 3 3 2 2 4" xfId="1025"/>
    <cellStyle name="Normal 3 3 2 3" xfId="931"/>
    <cellStyle name="Normal 3 3 2 3 2" xfId="1027"/>
    <cellStyle name="Normal 3 3 2 4" xfId="928"/>
    <cellStyle name="Normal 3 3 2 5" xfId="1024"/>
    <cellStyle name="Normal 3 3 3" xfId="656"/>
    <cellStyle name="Normal 3 3 3 2" xfId="933"/>
    <cellStyle name="Normal 3 3 3 2 2" xfId="1029"/>
    <cellStyle name="Normal 3 3 3 3" xfId="932"/>
    <cellStyle name="Normal 3 3 3 4" xfId="1028"/>
    <cellStyle name="Normal 3 3 4" xfId="934"/>
    <cellStyle name="Normal 3 3 4 2" xfId="1030"/>
    <cellStyle name="Normal 3 3 5" xfId="927"/>
    <cellStyle name="Normal 3 3 6" xfId="1023"/>
    <cellStyle name="Normal 3 4" xfId="657"/>
    <cellStyle name="Normal 3 4 2" xfId="658"/>
    <cellStyle name="Normal 3 4 2 2" xfId="937"/>
    <cellStyle name="Normal 3 4 2 2 2" xfId="1033"/>
    <cellStyle name="Normal 3 4 2 3" xfId="936"/>
    <cellStyle name="Normal 3 4 2 4" xfId="1032"/>
    <cellStyle name="Normal 3 4 3" xfId="938"/>
    <cellStyle name="Normal 3 4 3 2" xfId="1034"/>
    <cellStyle name="Normal 3 4 4" xfId="935"/>
    <cellStyle name="Normal 3 4 5" xfId="1031"/>
    <cellStyle name="Normal 3 5" xfId="659"/>
    <cellStyle name="Normal 3 5 2" xfId="940"/>
    <cellStyle name="Normal 3 5 2 2" xfId="1036"/>
    <cellStyle name="Normal 3 5 3" xfId="939"/>
    <cellStyle name="Normal 3 5 4" xfId="1035"/>
    <cellStyle name="Normal 3 6" xfId="941"/>
    <cellStyle name="Normal 3 7" xfId="918"/>
    <cellStyle name="Normal 3 8" xfId="1014"/>
    <cellStyle name="Normal 37" xfId="966"/>
    <cellStyle name="Normal 38" xfId="967"/>
    <cellStyle name="Normal 39" xfId="969"/>
    <cellStyle name="Normal 4" xfId="5"/>
    <cellStyle name="Normal 4 2" xfId="6"/>
    <cellStyle name="Normal 4 2 2" xfId="943"/>
    <cellStyle name="Normal 4 2 3" xfId="1037"/>
    <cellStyle name="Normal 4 2 4" xfId="1059"/>
    <cellStyle name="Normal 4 2 5" xfId="1061"/>
    <cellStyle name="Normal 4 2 6" xfId="1063"/>
    <cellStyle name="Normal 4 2 7" xfId="1066"/>
    <cellStyle name="Normal 4 2 8" xfId="1068"/>
    <cellStyle name="Normal 4 3" xfId="942"/>
    <cellStyle name="Normal 40" xfId="1064"/>
    <cellStyle name="Normal 41" xfId="970"/>
    <cellStyle name="Normal 42" xfId="971"/>
    <cellStyle name="Normal 43" xfId="972"/>
    <cellStyle name="Normal 44" xfId="973"/>
    <cellStyle name="Normal 46" xfId="968"/>
    <cellStyle name="Normal 5" xfId="660"/>
    <cellStyle name="Normal 5 2" xfId="661"/>
    <cellStyle name="Normal 5 2 2" xfId="946"/>
    <cellStyle name="Normal 5 2 2 2" xfId="1040"/>
    <cellStyle name="Normal 5 2 3" xfId="945"/>
    <cellStyle name="Normal 5 2 4" xfId="1039"/>
    <cellStyle name="Normal 5 3" xfId="947"/>
    <cellStyle name="Normal 5 3 2" xfId="1041"/>
    <cellStyle name="Normal 5 4" xfId="944"/>
    <cellStyle name="Normal 5 5" xfId="1038"/>
    <cellStyle name="Normal 6" xfId="662"/>
    <cellStyle name="Normal 6 2" xfId="663"/>
    <cellStyle name="Normal 6 2 2" xfId="950"/>
    <cellStyle name="Normal 6 2 2 2" xfId="1044"/>
    <cellStyle name="Normal 6 2 3" xfId="949"/>
    <cellStyle name="Normal 6 2 4" xfId="1043"/>
    <cellStyle name="Normal 6 3" xfId="951"/>
    <cellStyle name="Normal 6 3 2" xfId="1045"/>
    <cellStyle name="Normal 6 4" xfId="948"/>
    <cellStyle name="Normal 6 5" xfId="1042"/>
    <cellStyle name="Normal 7" xfId="664"/>
    <cellStyle name="Normal 7 2" xfId="665"/>
    <cellStyle name="Normal 7 2 2" xfId="954"/>
    <cellStyle name="Normal 7 2 2 2" xfId="1048"/>
    <cellStyle name="Normal 7 2 3" xfId="953"/>
    <cellStyle name="Normal 7 2 4" xfId="1047"/>
    <cellStyle name="Normal 7 3" xfId="955"/>
    <cellStyle name="Normal 7 3 2" xfId="1049"/>
    <cellStyle name="Normal 7 4" xfId="952"/>
    <cellStyle name="Normal 7 5" xfId="1046"/>
    <cellStyle name="Normal 8" xfId="666"/>
    <cellStyle name="Normal 8 2" xfId="667"/>
    <cellStyle name="Normal 8 2 2" xfId="958"/>
    <cellStyle name="Normal 8 2 2 2" xfId="1052"/>
    <cellStyle name="Normal 8 2 3" xfId="957"/>
    <cellStyle name="Normal 8 2 4" xfId="1051"/>
    <cellStyle name="Normal 8 3" xfId="959"/>
    <cellStyle name="Normal 8 3 2" xfId="1053"/>
    <cellStyle name="Normal 8 4" xfId="956"/>
    <cellStyle name="Normal 8 5" xfId="1050"/>
    <cellStyle name="Normal 9" xfId="668"/>
    <cellStyle name="Normal 9 2" xfId="669"/>
    <cellStyle name="Normal 9 2 2" xfId="962"/>
    <cellStyle name="Normal 9 2 2 2" xfId="1056"/>
    <cellStyle name="Normal 9 2 3" xfId="961"/>
    <cellStyle name="Normal 9 2 4" xfId="1055"/>
    <cellStyle name="Normal 9 3" xfId="963"/>
    <cellStyle name="Normal 9 3 2" xfId="1057"/>
    <cellStyle name="Normal 9 4" xfId="960"/>
    <cellStyle name="Normal 9 5" xfId="1054"/>
    <cellStyle name="nt bolted_BOOK1" xfId="670"/>
    <cellStyle name="NUM_" xfId="671"/>
    <cellStyle name="Number" xfId="672"/>
    <cellStyle name="o??귟 [0.00]_PRODUCT DETAIL Q1" xfId="673"/>
    <cellStyle name="Option_Added_Cont_Desc" xfId="674"/>
    <cellStyle name="Percent [2]" xfId="675"/>
    <cellStyle name="Percent [2] 2" xfId="676"/>
    <cellStyle name="Percent [2] 3" xfId="677"/>
    <cellStyle name="Preliminary_Data" xfId="678"/>
    <cellStyle name="Prices_Data" xfId="679"/>
    <cellStyle name="R?" xfId="680"/>
    <cellStyle name="R_TITLE" xfId="681"/>
    <cellStyle name="RSONAL" xfId="682"/>
    <cellStyle name="RSONAL 2" xfId="683"/>
    <cellStyle name="RSONAL 2 2" xfId="684"/>
    <cellStyle name="RSONAL 3" xfId="685"/>
    <cellStyle name="RSONAL 3 2" xfId="686"/>
    <cellStyle name="sche|_x0005_" xfId="687"/>
    <cellStyle name="Standard_BMS_nnn_project" xfId="2"/>
    <cellStyle name="subhead" xfId="688"/>
    <cellStyle name="þ" xfId="689"/>
    <cellStyle name="þ_x001d_ð'&amp;Oy?Hy" xfId="690"/>
    <cellStyle name="þ_x001d_ð'&amp;Oy?Hy9_x0008__x000f__x0007_" xfId="691"/>
    <cellStyle name="þ_x001d_ð'&amp;Oy?Hy9_x0008__x000f__x0007_ 2" xfId="692"/>
    <cellStyle name="þ_x001d_ð'&amp;Oy?Hy9_x0008__x000f__x0007_æ_x0007__x0007__x0001__x0001_" xfId="693"/>
    <cellStyle name="UR" xfId="694"/>
    <cellStyle name="UR 2" xfId="695"/>
    <cellStyle name="UR 2 2" xfId="696"/>
    <cellStyle name="UR 3" xfId="697"/>
    <cellStyle name="UR 3 2" xfId="698"/>
    <cellStyle name="Vehicle_Benchmark" xfId="699"/>
    <cellStyle name="Version_Header" xfId="700"/>
    <cellStyle name="Volumes_Data" xfId="701"/>
    <cellStyle name="XLS'|_x0005_t" xfId="702"/>
    <cellStyle name="Обычный_База по кодам" xfId="703"/>
    <cellStyle name="ન࿿ઇ૆૞૩૴ાઝુ૥઻ઢઓહ઩ૣોિૐ૭ઊૅ૶૮૯ઁમભ૵૎࿿૬૒_VBA_PROJECT_CUR" xfId="704"/>
    <cellStyle name="_x0003__x0008__x0005_ဠ" xfId="705"/>
    <cellStyle name="_x0003__x0008__x0005_ဠ 2" xfId="706"/>
    <cellStyle name="_x0003__x0008__x0005_ဠ 2 2" xfId="707"/>
    <cellStyle name="_x0003__x0008__x0005_ဠ 3" xfId="708"/>
    <cellStyle name="_x0003__x0008__x0005_ဠ 3 2" xfId="709"/>
    <cellStyle name="고정소숫점" xfId="710"/>
    <cellStyle name="고정소숫점 2" xfId="711"/>
    <cellStyle name="고정소숫점 2 2" xfId="712"/>
    <cellStyle name="고정소숫점 3" xfId="713"/>
    <cellStyle name="고정소숫점 3 2" xfId="714"/>
    <cellStyle name="고정출력1" xfId="715"/>
    <cellStyle name="고정출력1 2" xfId="716"/>
    <cellStyle name="고정출력1 2 2" xfId="717"/>
    <cellStyle name="고정출력1 3" xfId="718"/>
    <cellStyle name="고정출력1 3 2" xfId="719"/>
    <cellStyle name="고정출력2" xfId="720"/>
    <cellStyle name="고정출력2 2" xfId="721"/>
    <cellStyle name="고정출력2 2 2" xfId="722"/>
    <cellStyle name="고정출력2 3" xfId="723"/>
    <cellStyle name="고정출력2 3 2" xfId="724"/>
    <cellStyle name="날짜" xfId="725"/>
    <cellStyle name="날짜 2" xfId="726"/>
    <cellStyle name="날짜 2 2" xfId="727"/>
    <cellStyle name="날짜 3" xfId="728"/>
    <cellStyle name="날짜 3 2" xfId="729"/>
    <cellStyle name="달러" xfId="730"/>
    <cellStyle name="달러 2" xfId="731"/>
    <cellStyle name="달러 2 2" xfId="732"/>
    <cellStyle name="달러 3" xfId="733"/>
    <cellStyle name="달러 3 2" xfId="734"/>
    <cellStyle name="동수" xfId="735"/>
    <cellStyle name="뒤에 오는 하이퍼링크" xfId="736"/>
    <cellStyle name="뒤에 오는 하이퍼링크 2" xfId="737"/>
    <cellStyle name="뒤에 오는 하이퍼링크 2 2" xfId="738"/>
    <cellStyle name="뒤에 오는 하이퍼링크 3" xfId="739"/>
    <cellStyle name="뒤에 오는 하이퍼링크 3 2" xfId="740"/>
    <cellStyle name="똿떓죶Ø괻_PRODUCT DETAIL Q1" xfId="741"/>
    <cellStyle name="똿뗦먛귟 [0.00]_PRODUCT DETAIL Q1" xfId="742"/>
    <cellStyle name="똿뗦먛귟_PRODUCT DETAIL Q1" xfId="743"/>
    <cellStyle name="묮뎋 [0.00]_PRODUCT DETAIL Q1" xfId="744"/>
    <cellStyle name="묮뎋_PRODUCT DETAIL Q1" xfId="745"/>
    <cellStyle name="믅됞 [0.00]_!!!GO_CWK(AT;3안) " xfId="746"/>
    <cellStyle name="믅됞_!!!GO_CWK(AT;3안) " xfId="747"/>
    <cellStyle name="백" xfId="748"/>
    <cellStyle name="뷭?" xfId="749"/>
    <cellStyle name="뷭? 2" xfId="750"/>
    <cellStyle name="뷭? 2 2" xfId="751"/>
    <cellStyle name="뷭? 3" xfId="752"/>
    <cellStyle name="뷭? 3 2" xfId="753"/>
    <cellStyle name="뷭? 4" xfId="754"/>
    <cellStyle name="뷭? 4 2" xfId="755"/>
    <cellStyle name="뷭? 5" xfId="756"/>
    <cellStyle name="뷭? 5 2" xfId="757"/>
    <cellStyle name="뷭? 6" xfId="758"/>
    <cellStyle name="뷭? 6 2" xfId="759"/>
    <cellStyle name="셈迷?XLS!check_filesche|_x0005_" xfId="760"/>
    <cellStyle name="쉼표  [0]" xfId="761"/>
    <cellStyle name="스타일 1" xfId="762"/>
    <cellStyle name="스타일 1 2" xfId="763"/>
    <cellStyle name="스타일 1 3" xfId="764"/>
    <cellStyle name="스타일 10" xfId="765"/>
    <cellStyle name="스타일 10 2" xfId="766"/>
    <cellStyle name="스타일 10 2 2" xfId="767"/>
    <cellStyle name="스타일 10 3" xfId="768"/>
    <cellStyle name="스타일 10 3 2" xfId="769"/>
    <cellStyle name="스타일 11" xfId="770"/>
    <cellStyle name="스타일 11 2" xfId="771"/>
    <cellStyle name="스타일 11 2 2" xfId="772"/>
    <cellStyle name="스타일 11 3" xfId="773"/>
    <cellStyle name="스타일 11 3 2" xfId="774"/>
    <cellStyle name="스타일 12" xfId="775"/>
    <cellStyle name="스타일 12 2" xfId="776"/>
    <cellStyle name="스타일 12 2 2" xfId="777"/>
    <cellStyle name="스타일 12 3" xfId="778"/>
    <cellStyle name="스타일 12 3 2" xfId="779"/>
    <cellStyle name="스타일 2" xfId="780"/>
    <cellStyle name="스타일 2 2" xfId="781"/>
    <cellStyle name="스타일 2 2 2" xfId="782"/>
    <cellStyle name="스타일 2 3" xfId="783"/>
    <cellStyle name="스타일 2 3 2" xfId="784"/>
    <cellStyle name="스타일 3" xfId="785"/>
    <cellStyle name="스타일 3 2" xfId="786"/>
    <cellStyle name="스타일 3 2 2" xfId="787"/>
    <cellStyle name="스타일 3 3" xfId="788"/>
    <cellStyle name="스타일 3 3 2" xfId="789"/>
    <cellStyle name="스타일 4" xfId="790"/>
    <cellStyle name="스타일 4 2" xfId="791"/>
    <cellStyle name="스타일 4 2 2" xfId="792"/>
    <cellStyle name="스타일 4 3" xfId="793"/>
    <cellStyle name="스타일 4 3 2" xfId="794"/>
    <cellStyle name="스타일 5" xfId="795"/>
    <cellStyle name="스타일 5 2" xfId="796"/>
    <cellStyle name="스타일 5 2 2" xfId="797"/>
    <cellStyle name="스타일 5 3" xfId="798"/>
    <cellStyle name="스타일 5 3 2" xfId="799"/>
    <cellStyle name="스타일 6" xfId="800"/>
    <cellStyle name="스타일 6 2" xfId="801"/>
    <cellStyle name="스타일 6 2 2" xfId="802"/>
    <cellStyle name="스타일 6 3" xfId="803"/>
    <cellStyle name="스타일 6 3 2" xfId="804"/>
    <cellStyle name="스타일 7" xfId="805"/>
    <cellStyle name="스타일 7 2" xfId="806"/>
    <cellStyle name="스타일 7 3" xfId="807"/>
    <cellStyle name="스타일 8" xfId="808"/>
    <cellStyle name="스타일 8 2" xfId="809"/>
    <cellStyle name="스타일 8 2 2" xfId="810"/>
    <cellStyle name="스타일 8 3" xfId="811"/>
    <cellStyle name="스타일 8 3 2" xfId="812"/>
    <cellStyle name="스타일 9" xfId="813"/>
    <cellStyle name="스타일 9 2" xfId="814"/>
    <cellStyle name="스타일 9 2 2" xfId="815"/>
    <cellStyle name="스타일 9 3" xfId="816"/>
    <cellStyle name="스타일 9 3 2" xfId="817"/>
    <cellStyle name="자리수" xfId="818"/>
    <cellStyle name="자리수 2" xfId="819"/>
    <cellStyle name="자리수 2 2" xfId="820"/>
    <cellStyle name="자리수 3" xfId="821"/>
    <cellStyle name="자리수 3 2" xfId="822"/>
    <cellStyle name="자리수0" xfId="823"/>
    <cellStyle name="자리수0 2" xfId="824"/>
    <cellStyle name="자리수0 2 2" xfId="825"/>
    <cellStyle name="자리수0 3" xfId="826"/>
    <cellStyle name="자리수0 3 2" xfId="827"/>
    <cellStyle name="제목1" xfId="828"/>
    <cellStyle name="지정되지 않음" xfId="829"/>
    <cellStyle name="지정되지 않음 2" xfId="830"/>
    <cellStyle name="지정되지 않음 2 2" xfId="831"/>
    <cellStyle name="지정되지 않음 3" xfId="832"/>
    <cellStyle name="지정되지 않음 3 2" xfId="833"/>
    <cellStyle name="콤" xfId="834"/>
    <cellStyle name="콤마 [" xfId="835"/>
    <cellStyle name="콤마 [0]_  종  합  " xfId="836"/>
    <cellStyle name="콤마,_x0005__x0014_" xfId="837"/>
    <cellStyle name="콤마_  종  합  " xfId="838"/>
    <cellStyle name="콤마1" xfId="839"/>
    <cellStyle name="통" xfId="840"/>
    <cellStyle name="통화 [" xfId="841"/>
    <cellStyle name="퍼센트" xfId="842"/>
    <cellStyle name="퍼센트 2" xfId="843"/>
    <cellStyle name="퍼센트 2 2" xfId="844"/>
    <cellStyle name="퍼센트 3" xfId="845"/>
    <cellStyle name="퍼센트 3 2" xfId="846"/>
    <cellStyle name="표" xfId="847"/>
    <cellStyle name="표서식" xfId="848"/>
    <cellStyle name="표서식 2" xfId="849"/>
    <cellStyle name="표서식 3" xfId="850"/>
    <cellStyle name="표준_Plot_Graph_20090206A" xfId="851"/>
    <cellStyle name="합산" xfId="852"/>
    <cellStyle name="합산 2" xfId="853"/>
    <cellStyle name="합산 2 2" xfId="854"/>
    <cellStyle name="합산 3" xfId="855"/>
    <cellStyle name="합산 3 2" xfId="856"/>
    <cellStyle name="화폐기호" xfId="857"/>
    <cellStyle name="화폐기호 2" xfId="858"/>
    <cellStyle name="화폐기호 2 2" xfId="859"/>
    <cellStyle name="화폐기호 3" xfId="860"/>
    <cellStyle name="화폐기호 3 2" xfId="861"/>
    <cellStyle name="화폐기호0" xfId="862"/>
    <cellStyle name="화폐기호0 2" xfId="863"/>
    <cellStyle name="화폐기호0 2 2" xfId="864"/>
    <cellStyle name="화폐기호0 3" xfId="865"/>
    <cellStyle name="화폐기호0 3 2" xfId="866"/>
    <cellStyle name="회비" xfId="867"/>
    <cellStyle name="회비 2" xfId="868"/>
    <cellStyle name="회비 2 2" xfId="869"/>
    <cellStyle name="회비 3" xfId="870"/>
    <cellStyle name="회비 3 2" xfId="871"/>
    <cellStyle name="一般_Book1" xfId="872"/>
    <cellStyle name="千分位[0]_Book1" xfId="873"/>
    <cellStyle name="千分位_Book1" xfId="874"/>
    <cellStyle name="常规" xfId="0" builtinId="0"/>
    <cellStyle name="貨幣 [0]_Book1" xfId="875"/>
    <cellStyle name="貨幣_Book1" xfId="876"/>
    <cellStyle name="㿘준_수입부품 _견적가 _XD설원견" xfId="877"/>
  </cellStyles>
  <dxfs count="62">
    <dxf>
      <fill>
        <patternFill patternType="gray0625">
          <bgColor theme="1" tint="0.499984740745262"/>
        </patternFill>
      </fill>
    </dxf>
    <dxf>
      <fill>
        <patternFill patternType="gray0625">
          <bgColor theme="1" tint="0.499984740745262"/>
        </patternFill>
      </fill>
    </dxf>
    <dxf>
      <fill>
        <patternFill>
          <bgColor rgb="FF7030A0"/>
        </patternFill>
      </fill>
    </dxf>
    <dxf>
      <fill>
        <patternFill patternType="gray0625">
          <bgColor theme="1" tint="0.499984740745262"/>
        </patternFill>
      </fill>
    </dxf>
    <dxf>
      <fill>
        <patternFill patternType="gray0625">
          <bgColor theme="1" tint="0.499984740745262"/>
        </patternFill>
      </fill>
    </dxf>
    <dxf>
      <fill>
        <patternFill>
          <bgColor rgb="FF7030A0"/>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bgColor rgb="FF7030A0"/>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
      <fill>
        <patternFill patternType="gray0625">
          <bgColor theme="1" tint="0.499984740745262"/>
        </patternFill>
      </fill>
    </dxf>
  </dxfs>
  <tableStyles count="0" defaultTableStyle="TableStyleMedium9" defaultPivotStyle="PivotStyleLight16"/>
  <colors>
    <mruColors>
      <color rgb="FFF8F8F8"/>
      <color rgb="FFCCFFCC"/>
    </mruColors>
  </colors>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emf"/><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emf"/><Relationship Id="rId50" Type="http://schemas.openxmlformats.org/officeDocument/2006/relationships/image" Target="../media/image50.emf"/><Relationship Id="rId55" Type="http://schemas.openxmlformats.org/officeDocument/2006/relationships/image" Target="../media/image55.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emf"/><Relationship Id="rId38" Type="http://schemas.openxmlformats.org/officeDocument/2006/relationships/image" Target="../media/image38.png"/><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emf"/><Relationship Id="rId41" Type="http://schemas.openxmlformats.org/officeDocument/2006/relationships/image" Target="../media/image41.png"/><Relationship Id="rId54" Type="http://schemas.openxmlformats.org/officeDocument/2006/relationships/image" Target="../media/image54.pn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 Type="http://schemas.openxmlformats.org/officeDocument/2006/relationships/image" Target="../media/image5.png"/><Relationship Id="rId15" Type="http://schemas.openxmlformats.org/officeDocument/2006/relationships/image" Target="../media/image15.emf"/><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jpeg"/><Relationship Id="rId49" Type="http://schemas.openxmlformats.org/officeDocument/2006/relationships/image" Target="../media/image49.emf"/><Relationship Id="rId57" Type="http://schemas.openxmlformats.org/officeDocument/2006/relationships/image" Target="../media/image57.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emf"/><Relationship Id="rId43" Type="http://schemas.openxmlformats.org/officeDocument/2006/relationships/image" Target="../media/image43.png"/><Relationship Id="rId48" Type="http://schemas.openxmlformats.org/officeDocument/2006/relationships/image" Target="../media/image48.emf"/><Relationship Id="rId56" Type="http://schemas.openxmlformats.org/officeDocument/2006/relationships/image" Target="../media/image56.png"/><Relationship Id="rId8" Type="http://schemas.openxmlformats.org/officeDocument/2006/relationships/image" Target="../media/image8.png"/><Relationship Id="rId51" Type="http://schemas.openxmlformats.org/officeDocument/2006/relationships/image" Target="../media/image51.emf"/><Relationship Id="rId3"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drawing1.xml><?xml version="1.0" encoding="utf-8"?>
<xdr:wsDr xmlns:xdr="http://schemas.openxmlformats.org/drawingml/2006/spreadsheetDrawing" xmlns:a="http://schemas.openxmlformats.org/drawingml/2006/main">
  <xdr:twoCellAnchor>
    <xdr:from>
      <xdr:col>2</xdr:col>
      <xdr:colOff>85725</xdr:colOff>
      <xdr:row>2</xdr:row>
      <xdr:rowOff>47625</xdr:rowOff>
    </xdr:from>
    <xdr:to>
      <xdr:col>2</xdr:col>
      <xdr:colOff>495300</xdr:colOff>
      <xdr:row>2</xdr:row>
      <xdr:rowOff>295275</xdr:rowOff>
    </xdr:to>
    <xdr:pic>
      <xdr:nvPicPr>
        <xdr:cNvPr id="2"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1695450" y="1190625"/>
          <a:ext cx="409575" cy="247650"/>
        </a:xfrm>
        <a:prstGeom prst="rect">
          <a:avLst/>
        </a:prstGeom>
        <a:noFill/>
        <a:ln w="9525">
          <a:noFill/>
          <a:miter lim="800000"/>
          <a:headEnd/>
          <a:tailEnd/>
        </a:ln>
      </xdr:spPr>
    </xdr:pic>
    <xdr:clientData/>
  </xdr:twoCellAnchor>
  <xdr:twoCellAnchor>
    <xdr:from>
      <xdr:col>2</xdr:col>
      <xdr:colOff>95250</xdr:colOff>
      <xdr:row>3</xdr:row>
      <xdr:rowOff>38100</xdr:rowOff>
    </xdr:from>
    <xdr:to>
      <xdr:col>2</xdr:col>
      <xdr:colOff>428625</xdr:colOff>
      <xdr:row>3</xdr:row>
      <xdr:rowOff>333375</xdr:rowOff>
    </xdr:to>
    <xdr:pic>
      <xdr:nvPicPr>
        <xdr:cNvPr id="3" name="Picture 4"/>
        <xdr:cNvPicPr>
          <a:picLocks noChangeAspect="1" noChangeArrowheads="1"/>
        </xdr:cNvPicPr>
      </xdr:nvPicPr>
      <xdr:blipFill>
        <a:blip xmlns:r="http://schemas.openxmlformats.org/officeDocument/2006/relationships" r:embed="rId2" cstate="print"/>
        <a:srcRect/>
        <a:stretch>
          <a:fillRect/>
        </a:stretch>
      </xdr:blipFill>
      <xdr:spPr bwMode="auto">
        <a:xfrm>
          <a:off x="1704975" y="1562100"/>
          <a:ext cx="333375" cy="295275"/>
        </a:xfrm>
        <a:prstGeom prst="rect">
          <a:avLst/>
        </a:prstGeom>
        <a:noFill/>
        <a:ln w="9525">
          <a:noFill/>
          <a:miter lim="800000"/>
          <a:headEnd/>
          <a:tailEnd/>
        </a:ln>
      </xdr:spPr>
    </xdr:pic>
    <xdr:clientData/>
  </xdr:twoCellAnchor>
  <xdr:twoCellAnchor>
    <xdr:from>
      <xdr:col>2</xdr:col>
      <xdr:colOff>95250</xdr:colOff>
      <xdr:row>4</xdr:row>
      <xdr:rowOff>38100</xdr:rowOff>
    </xdr:from>
    <xdr:to>
      <xdr:col>2</xdr:col>
      <xdr:colOff>457200</xdr:colOff>
      <xdr:row>5</xdr:row>
      <xdr:rowOff>0</xdr:rowOff>
    </xdr:to>
    <xdr:pic>
      <xdr:nvPicPr>
        <xdr:cNvPr id="4" name="Picture 5"/>
        <xdr:cNvPicPr>
          <a:picLocks noChangeAspect="1" noChangeArrowheads="1"/>
        </xdr:cNvPicPr>
      </xdr:nvPicPr>
      <xdr:blipFill>
        <a:blip xmlns:r="http://schemas.openxmlformats.org/officeDocument/2006/relationships" r:embed="rId3" cstate="print"/>
        <a:srcRect/>
        <a:stretch>
          <a:fillRect/>
        </a:stretch>
      </xdr:blipFill>
      <xdr:spPr bwMode="auto">
        <a:xfrm>
          <a:off x="1704975" y="1943100"/>
          <a:ext cx="361950" cy="342900"/>
        </a:xfrm>
        <a:prstGeom prst="rect">
          <a:avLst/>
        </a:prstGeom>
        <a:noFill/>
        <a:ln w="9525">
          <a:noFill/>
          <a:miter lim="800000"/>
          <a:headEnd/>
          <a:tailEnd/>
        </a:ln>
      </xdr:spPr>
    </xdr:pic>
    <xdr:clientData/>
  </xdr:twoCellAnchor>
  <xdr:twoCellAnchor>
    <xdr:from>
      <xdr:col>2</xdr:col>
      <xdr:colOff>95250</xdr:colOff>
      <xdr:row>5</xdr:row>
      <xdr:rowOff>28575</xdr:rowOff>
    </xdr:from>
    <xdr:to>
      <xdr:col>2</xdr:col>
      <xdr:colOff>447675</xdr:colOff>
      <xdr:row>5</xdr:row>
      <xdr:rowOff>361950</xdr:rowOff>
    </xdr:to>
    <xdr:pic>
      <xdr:nvPicPr>
        <xdr:cNvPr id="5" name="Picture 6"/>
        <xdr:cNvPicPr>
          <a:picLocks noChangeAspect="1" noChangeArrowheads="1"/>
        </xdr:cNvPicPr>
      </xdr:nvPicPr>
      <xdr:blipFill>
        <a:blip xmlns:r="http://schemas.openxmlformats.org/officeDocument/2006/relationships" r:embed="rId4" cstate="print"/>
        <a:srcRect/>
        <a:stretch>
          <a:fillRect/>
        </a:stretch>
      </xdr:blipFill>
      <xdr:spPr bwMode="auto">
        <a:xfrm>
          <a:off x="1704975" y="2314575"/>
          <a:ext cx="352425" cy="333375"/>
        </a:xfrm>
        <a:prstGeom prst="rect">
          <a:avLst/>
        </a:prstGeom>
        <a:noFill/>
        <a:ln w="9525">
          <a:noFill/>
          <a:miter lim="800000"/>
          <a:headEnd/>
          <a:tailEnd/>
        </a:ln>
      </xdr:spPr>
    </xdr:pic>
    <xdr:clientData/>
  </xdr:twoCellAnchor>
  <xdr:twoCellAnchor>
    <xdr:from>
      <xdr:col>2</xdr:col>
      <xdr:colOff>95250</xdr:colOff>
      <xdr:row>6</xdr:row>
      <xdr:rowOff>9525</xdr:rowOff>
    </xdr:from>
    <xdr:to>
      <xdr:col>2</xdr:col>
      <xdr:colOff>457200</xdr:colOff>
      <xdr:row>6</xdr:row>
      <xdr:rowOff>342900</xdr:rowOff>
    </xdr:to>
    <xdr:pic>
      <xdr:nvPicPr>
        <xdr:cNvPr id="6" name="Picture 7"/>
        <xdr:cNvPicPr>
          <a:picLocks noChangeAspect="1" noChangeArrowheads="1"/>
        </xdr:cNvPicPr>
      </xdr:nvPicPr>
      <xdr:blipFill>
        <a:blip xmlns:r="http://schemas.openxmlformats.org/officeDocument/2006/relationships" r:embed="rId5" cstate="print"/>
        <a:srcRect/>
        <a:stretch>
          <a:fillRect/>
        </a:stretch>
      </xdr:blipFill>
      <xdr:spPr bwMode="auto">
        <a:xfrm>
          <a:off x="1704975" y="2676525"/>
          <a:ext cx="361950" cy="333375"/>
        </a:xfrm>
        <a:prstGeom prst="rect">
          <a:avLst/>
        </a:prstGeom>
        <a:noFill/>
        <a:ln w="9525">
          <a:noFill/>
          <a:miter lim="800000"/>
          <a:headEnd/>
          <a:tailEnd/>
        </a:ln>
      </xdr:spPr>
    </xdr:pic>
    <xdr:clientData/>
  </xdr:twoCellAnchor>
  <xdr:twoCellAnchor>
    <xdr:from>
      <xdr:col>2</xdr:col>
      <xdr:colOff>95250</xdr:colOff>
      <xdr:row>7</xdr:row>
      <xdr:rowOff>47625</xdr:rowOff>
    </xdr:from>
    <xdr:to>
      <xdr:col>2</xdr:col>
      <xdr:colOff>485775</xdr:colOff>
      <xdr:row>7</xdr:row>
      <xdr:rowOff>352425</xdr:rowOff>
    </xdr:to>
    <xdr:pic>
      <xdr:nvPicPr>
        <xdr:cNvPr id="7" name="Picture 8"/>
        <xdr:cNvPicPr>
          <a:picLocks noChangeAspect="1" noChangeArrowheads="1"/>
        </xdr:cNvPicPr>
      </xdr:nvPicPr>
      <xdr:blipFill>
        <a:blip xmlns:r="http://schemas.openxmlformats.org/officeDocument/2006/relationships" r:embed="rId6" cstate="print"/>
        <a:srcRect/>
        <a:stretch>
          <a:fillRect/>
        </a:stretch>
      </xdr:blipFill>
      <xdr:spPr bwMode="auto">
        <a:xfrm>
          <a:off x="1704975" y="3095625"/>
          <a:ext cx="390525" cy="304800"/>
        </a:xfrm>
        <a:prstGeom prst="rect">
          <a:avLst/>
        </a:prstGeom>
        <a:noFill/>
        <a:ln w="9525">
          <a:noFill/>
          <a:miter lim="800000"/>
          <a:headEnd/>
          <a:tailEnd/>
        </a:ln>
      </xdr:spPr>
    </xdr:pic>
    <xdr:clientData/>
  </xdr:twoCellAnchor>
  <xdr:twoCellAnchor>
    <xdr:from>
      <xdr:col>2</xdr:col>
      <xdr:colOff>142875</xdr:colOff>
      <xdr:row>9</xdr:row>
      <xdr:rowOff>76200</xdr:rowOff>
    </xdr:from>
    <xdr:to>
      <xdr:col>2</xdr:col>
      <xdr:colOff>457200</xdr:colOff>
      <xdr:row>9</xdr:row>
      <xdr:rowOff>304800</xdr:rowOff>
    </xdr:to>
    <xdr:pic>
      <xdr:nvPicPr>
        <xdr:cNvPr id="8" name="Picture 9"/>
        <xdr:cNvPicPr>
          <a:picLocks noChangeAspect="1" noChangeArrowheads="1"/>
        </xdr:cNvPicPr>
      </xdr:nvPicPr>
      <xdr:blipFill>
        <a:blip xmlns:r="http://schemas.openxmlformats.org/officeDocument/2006/relationships" r:embed="rId7" cstate="print"/>
        <a:srcRect/>
        <a:stretch>
          <a:fillRect/>
        </a:stretch>
      </xdr:blipFill>
      <xdr:spPr bwMode="auto">
        <a:xfrm>
          <a:off x="1752600" y="3886200"/>
          <a:ext cx="314325" cy="228600"/>
        </a:xfrm>
        <a:prstGeom prst="rect">
          <a:avLst/>
        </a:prstGeom>
        <a:noFill/>
        <a:ln w="1">
          <a:noFill/>
          <a:miter lim="800000"/>
          <a:headEnd/>
          <a:tailEnd/>
        </a:ln>
      </xdr:spPr>
    </xdr:pic>
    <xdr:clientData/>
  </xdr:twoCellAnchor>
  <xdr:twoCellAnchor>
    <xdr:from>
      <xdr:col>2</xdr:col>
      <xdr:colOff>123825</xdr:colOff>
      <xdr:row>10</xdr:row>
      <xdr:rowOff>38100</xdr:rowOff>
    </xdr:from>
    <xdr:to>
      <xdr:col>2</xdr:col>
      <xdr:colOff>438150</xdr:colOff>
      <xdr:row>10</xdr:row>
      <xdr:rowOff>352425</xdr:rowOff>
    </xdr:to>
    <xdr:pic>
      <xdr:nvPicPr>
        <xdr:cNvPr id="9" name="Picture 10"/>
        <xdr:cNvPicPr>
          <a:picLocks noChangeAspect="1" noChangeArrowheads="1"/>
        </xdr:cNvPicPr>
      </xdr:nvPicPr>
      <xdr:blipFill>
        <a:blip xmlns:r="http://schemas.openxmlformats.org/officeDocument/2006/relationships" r:embed="rId8" cstate="print"/>
        <a:srcRect/>
        <a:stretch>
          <a:fillRect/>
        </a:stretch>
      </xdr:blipFill>
      <xdr:spPr bwMode="auto">
        <a:xfrm>
          <a:off x="1733550" y="4229100"/>
          <a:ext cx="314325" cy="314325"/>
        </a:xfrm>
        <a:prstGeom prst="rect">
          <a:avLst/>
        </a:prstGeom>
        <a:noFill/>
        <a:ln w="1">
          <a:noFill/>
          <a:miter lim="800000"/>
          <a:headEnd/>
          <a:tailEnd/>
        </a:ln>
      </xdr:spPr>
    </xdr:pic>
    <xdr:clientData/>
  </xdr:twoCellAnchor>
  <xdr:twoCellAnchor>
    <xdr:from>
      <xdr:col>2</xdr:col>
      <xdr:colOff>161925</xdr:colOff>
      <xdr:row>11</xdr:row>
      <xdr:rowOff>28575</xdr:rowOff>
    </xdr:from>
    <xdr:to>
      <xdr:col>2</xdr:col>
      <xdr:colOff>428625</xdr:colOff>
      <xdr:row>11</xdr:row>
      <xdr:rowOff>361950</xdr:rowOff>
    </xdr:to>
    <xdr:pic>
      <xdr:nvPicPr>
        <xdr:cNvPr id="10" name="Picture 11"/>
        <xdr:cNvPicPr>
          <a:picLocks noChangeAspect="1" noChangeArrowheads="1"/>
        </xdr:cNvPicPr>
      </xdr:nvPicPr>
      <xdr:blipFill>
        <a:blip xmlns:r="http://schemas.openxmlformats.org/officeDocument/2006/relationships" r:embed="rId9" cstate="print"/>
        <a:srcRect/>
        <a:stretch>
          <a:fillRect/>
        </a:stretch>
      </xdr:blipFill>
      <xdr:spPr bwMode="auto">
        <a:xfrm>
          <a:off x="1771650" y="4600575"/>
          <a:ext cx="266700" cy="333375"/>
        </a:xfrm>
        <a:prstGeom prst="rect">
          <a:avLst/>
        </a:prstGeom>
        <a:noFill/>
        <a:ln w="9525">
          <a:noFill/>
          <a:miter lim="800000"/>
          <a:headEnd/>
          <a:tailEnd/>
        </a:ln>
      </xdr:spPr>
    </xdr:pic>
    <xdr:clientData/>
  </xdr:twoCellAnchor>
  <xdr:twoCellAnchor>
    <xdr:from>
      <xdr:col>2</xdr:col>
      <xdr:colOff>114300</xdr:colOff>
      <xdr:row>12</xdr:row>
      <xdr:rowOff>85725</xdr:rowOff>
    </xdr:from>
    <xdr:to>
      <xdr:col>2</xdr:col>
      <xdr:colOff>476250</xdr:colOff>
      <xdr:row>12</xdr:row>
      <xdr:rowOff>323850</xdr:rowOff>
    </xdr:to>
    <xdr:pic>
      <xdr:nvPicPr>
        <xdr:cNvPr id="11" name="Picture 12"/>
        <xdr:cNvPicPr>
          <a:picLocks noChangeAspect="1" noChangeArrowheads="1"/>
        </xdr:cNvPicPr>
      </xdr:nvPicPr>
      <xdr:blipFill>
        <a:blip xmlns:r="http://schemas.openxmlformats.org/officeDocument/2006/relationships" r:embed="rId10" cstate="print"/>
        <a:srcRect/>
        <a:stretch>
          <a:fillRect/>
        </a:stretch>
      </xdr:blipFill>
      <xdr:spPr bwMode="auto">
        <a:xfrm>
          <a:off x="1724025" y="5038725"/>
          <a:ext cx="361950" cy="238125"/>
        </a:xfrm>
        <a:prstGeom prst="rect">
          <a:avLst/>
        </a:prstGeom>
        <a:noFill/>
        <a:ln w="9525">
          <a:noFill/>
          <a:miter lim="800000"/>
          <a:headEnd/>
          <a:tailEnd/>
        </a:ln>
      </xdr:spPr>
    </xdr:pic>
    <xdr:clientData/>
  </xdr:twoCellAnchor>
  <xdr:twoCellAnchor>
    <xdr:from>
      <xdr:col>2</xdr:col>
      <xdr:colOff>133350</xdr:colOff>
      <xdr:row>15</xdr:row>
      <xdr:rowOff>38100</xdr:rowOff>
    </xdr:from>
    <xdr:to>
      <xdr:col>2</xdr:col>
      <xdr:colOff>419100</xdr:colOff>
      <xdr:row>15</xdr:row>
      <xdr:rowOff>304800</xdr:rowOff>
    </xdr:to>
    <xdr:pic>
      <xdr:nvPicPr>
        <xdr:cNvPr id="12" name="Picture 13"/>
        <xdr:cNvPicPr>
          <a:picLocks noChangeAspect="1" noChangeArrowheads="1"/>
        </xdr:cNvPicPr>
      </xdr:nvPicPr>
      <xdr:blipFill>
        <a:blip xmlns:r="http://schemas.openxmlformats.org/officeDocument/2006/relationships" r:embed="rId11" cstate="print"/>
        <a:srcRect/>
        <a:stretch>
          <a:fillRect/>
        </a:stretch>
      </xdr:blipFill>
      <xdr:spPr bwMode="auto">
        <a:xfrm>
          <a:off x="1743075" y="6134100"/>
          <a:ext cx="285750" cy="266700"/>
        </a:xfrm>
        <a:prstGeom prst="rect">
          <a:avLst/>
        </a:prstGeom>
        <a:noFill/>
        <a:ln w="9525">
          <a:noFill/>
          <a:miter lim="800000"/>
          <a:headEnd/>
          <a:tailEnd/>
        </a:ln>
      </xdr:spPr>
    </xdr:pic>
    <xdr:clientData/>
  </xdr:twoCellAnchor>
  <xdr:twoCellAnchor>
    <xdr:from>
      <xdr:col>2</xdr:col>
      <xdr:colOff>161925</xdr:colOff>
      <xdr:row>16</xdr:row>
      <xdr:rowOff>66675</xdr:rowOff>
    </xdr:from>
    <xdr:to>
      <xdr:col>2</xdr:col>
      <xdr:colOff>428625</xdr:colOff>
      <xdr:row>16</xdr:row>
      <xdr:rowOff>342900</xdr:rowOff>
    </xdr:to>
    <xdr:pic>
      <xdr:nvPicPr>
        <xdr:cNvPr id="13" name="Picture 14"/>
        <xdr:cNvPicPr>
          <a:picLocks noChangeAspect="1" noChangeArrowheads="1"/>
        </xdr:cNvPicPr>
      </xdr:nvPicPr>
      <xdr:blipFill>
        <a:blip xmlns:r="http://schemas.openxmlformats.org/officeDocument/2006/relationships" r:embed="rId12" cstate="print"/>
        <a:srcRect/>
        <a:stretch>
          <a:fillRect/>
        </a:stretch>
      </xdr:blipFill>
      <xdr:spPr bwMode="auto">
        <a:xfrm>
          <a:off x="1771650" y="6543675"/>
          <a:ext cx="266700" cy="276225"/>
        </a:xfrm>
        <a:prstGeom prst="rect">
          <a:avLst/>
        </a:prstGeom>
        <a:noFill/>
        <a:ln w="9525">
          <a:noFill/>
          <a:miter lim="800000"/>
          <a:headEnd/>
          <a:tailEnd/>
        </a:ln>
      </xdr:spPr>
    </xdr:pic>
    <xdr:clientData/>
  </xdr:twoCellAnchor>
  <xdr:twoCellAnchor>
    <xdr:from>
      <xdr:col>2</xdr:col>
      <xdr:colOff>152400</xdr:colOff>
      <xdr:row>18</xdr:row>
      <xdr:rowOff>47625</xdr:rowOff>
    </xdr:from>
    <xdr:to>
      <xdr:col>2</xdr:col>
      <xdr:colOff>409575</xdr:colOff>
      <xdr:row>18</xdr:row>
      <xdr:rowOff>333375</xdr:rowOff>
    </xdr:to>
    <xdr:pic>
      <xdr:nvPicPr>
        <xdr:cNvPr id="14" name="Picture 16"/>
        <xdr:cNvPicPr>
          <a:picLocks noChangeAspect="1" noChangeArrowheads="1"/>
        </xdr:cNvPicPr>
      </xdr:nvPicPr>
      <xdr:blipFill>
        <a:blip xmlns:r="http://schemas.openxmlformats.org/officeDocument/2006/relationships" r:embed="rId13" cstate="print"/>
        <a:srcRect/>
        <a:stretch>
          <a:fillRect/>
        </a:stretch>
      </xdr:blipFill>
      <xdr:spPr bwMode="auto">
        <a:xfrm>
          <a:off x="1762125" y="7286625"/>
          <a:ext cx="257175" cy="285750"/>
        </a:xfrm>
        <a:prstGeom prst="rect">
          <a:avLst/>
        </a:prstGeom>
        <a:noFill/>
        <a:ln w="9525">
          <a:noFill/>
          <a:miter lim="800000"/>
          <a:headEnd/>
          <a:tailEnd/>
        </a:ln>
      </xdr:spPr>
    </xdr:pic>
    <xdr:clientData/>
  </xdr:twoCellAnchor>
  <xdr:twoCellAnchor>
    <xdr:from>
      <xdr:col>2</xdr:col>
      <xdr:colOff>95250</xdr:colOff>
      <xdr:row>1</xdr:row>
      <xdr:rowOff>57150</xdr:rowOff>
    </xdr:from>
    <xdr:to>
      <xdr:col>2</xdr:col>
      <xdr:colOff>466725</xdr:colOff>
      <xdr:row>1</xdr:row>
      <xdr:rowOff>352425</xdr:rowOff>
    </xdr:to>
    <xdr:pic>
      <xdr:nvPicPr>
        <xdr:cNvPr id="15" name="Picture 16"/>
        <xdr:cNvPicPr>
          <a:picLocks noChangeAspect="1" noChangeArrowheads="1"/>
        </xdr:cNvPicPr>
      </xdr:nvPicPr>
      <xdr:blipFill>
        <a:blip xmlns:r="http://schemas.openxmlformats.org/officeDocument/2006/relationships" r:embed="rId14" cstate="print"/>
        <a:srcRect/>
        <a:stretch>
          <a:fillRect/>
        </a:stretch>
      </xdr:blipFill>
      <xdr:spPr bwMode="auto">
        <a:xfrm>
          <a:off x="1704975" y="819150"/>
          <a:ext cx="371475" cy="295275"/>
        </a:xfrm>
        <a:prstGeom prst="rect">
          <a:avLst/>
        </a:prstGeom>
        <a:noFill/>
        <a:ln w="1">
          <a:noFill/>
          <a:miter lim="800000"/>
          <a:headEnd/>
          <a:tailEnd/>
        </a:ln>
      </xdr:spPr>
    </xdr:pic>
    <xdr:clientData/>
  </xdr:twoCellAnchor>
  <xdr:twoCellAnchor>
    <xdr:from>
      <xdr:col>2</xdr:col>
      <xdr:colOff>152400</xdr:colOff>
      <xdr:row>13</xdr:row>
      <xdr:rowOff>38100</xdr:rowOff>
    </xdr:from>
    <xdr:to>
      <xdr:col>2</xdr:col>
      <xdr:colOff>438150</xdr:colOff>
      <xdr:row>13</xdr:row>
      <xdr:rowOff>361950</xdr:rowOff>
    </xdr:to>
    <xdr:pic>
      <xdr:nvPicPr>
        <xdr:cNvPr id="16" name="图片 1"/>
        <xdr:cNvPicPr>
          <a:picLocks noChangeAspect="1" noChangeArrowheads="1"/>
        </xdr:cNvPicPr>
      </xdr:nvPicPr>
      <xdr:blipFill>
        <a:blip xmlns:r="http://schemas.openxmlformats.org/officeDocument/2006/relationships" r:embed="rId15" cstate="print"/>
        <a:srcRect/>
        <a:stretch>
          <a:fillRect/>
        </a:stretch>
      </xdr:blipFill>
      <xdr:spPr bwMode="auto">
        <a:xfrm>
          <a:off x="1762125" y="5372100"/>
          <a:ext cx="285750" cy="323850"/>
        </a:xfrm>
        <a:prstGeom prst="rect">
          <a:avLst/>
        </a:prstGeom>
        <a:noFill/>
        <a:ln w="9525">
          <a:noFill/>
          <a:miter lim="800000"/>
          <a:headEnd/>
          <a:tailEnd/>
        </a:ln>
      </xdr:spPr>
    </xdr:pic>
    <xdr:clientData/>
  </xdr:twoCellAnchor>
  <xdr:twoCellAnchor>
    <xdr:from>
      <xdr:col>2</xdr:col>
      <xdr:colOff>142875</xdr:colOff>
      <xdr:row>14</xdr:row>
      <xdr:rowOff>19050</xdr:rowOff>
    </xdr:from>
    <xdr:to>
      <xdr:col>2</xdr:col>
      <xdr:colOff>428625</xdr:colOff>
      <xdr:row>14</xdr:row>
      <xdr:rowOff>342900</xdr:rowOff>
    </xdr:to>
    <xdr:pic>
      <xdr:nvPicPr>
        <xdr:cNvPr id="17" name="图片 1"/>
        <xdr:cNvPicPr>
          <a:picLocks noChangeAspect="1" noChangeArrowheads="1"/>
        </xdr:cNvPicPr>
      </xdr:nvPicPr>
      <xdr:blipFill>
        <a:blip xmlns:r="http://schemas.openxmlformats.org/officeDocument/2006/relationships" r:embed="rId15" cstate="print"/>
        <a:srcRect/>
        <a:stretch>
          <a:fillRect/>
        </a:stretch>
      </xdr:blipFill>
      <xdr:spPr bwMode="auto">
        <a:xfrm>
          <a:off x="1752600" y="5734050"/>
          <a:ext cx="285750" cy="323850"/>
        </a:xfrm>
        <a:prstGeom prst="rect">
          <a:avLst/>
        </a:prstGeom>
        <a:noFill/>
        <a:ln w="9525">
          <a:noFill/>
          <a:miter lim="800000"/>
          <a:headEnd/>
          <a:tailEnd/>
        </a:ln>
      </xdr:spPr>
    </xdr:pic>
    <xdr:clientData/>
  </xdr:twoCellAnchor>
  <xdr:twoCellAnchor>
    <xdr:from>
      <xdr:col>2</xdr:col>
      <xdr:colOff>104775</xdr:colOff>
      <xdr:row>20</xdr:row>
      <xdr:rowOff>76200</xdr:rowOff>
    </xdr:from>
    <xdr:to>
      <xdr:col>2</xdr:col>
      <xdr:colOff>409575</xdr:colOff>
      <xdr:row>20</xdr:row>
      <xdr:rowOff>352425</xdr:rowOff>
    </xdr:to>
    <xdr:pic>
      <xdr:nvPicPr>
        <xdr:cNvPr id="18" name="图片 26"/>
        <xdr:cNvPicPr>
          <a:picLocks noChangeAspect="1" noChangeArrowheads="1"/>
        </xdr:cNvPicPr>
      </xdr:nvPicPr>
      <xdr:blipFill>
        <a:blip xmlns:r="http://schemas.openxmlformats.org/officeDocument/2006/relationships" r:embed="rId16" cstate="print"/>
        <a:srcRect/>
        <a:stretch>
          <a:fillRect/>
        </a:stretch>
      </xdr:blipFill>
      <xdr:spPr bwMode="auto">
        <a:xfrm>
          <a:off x="1714500" y="8077200"/>
          <a:ext cx="304800" cy="276225"/>
        </a:xfrm>
        <a:prstGeom prst="rect">
          <a:avLst/>
        </a:prstGeom>
        <a:noFill/>
        <a:ln w="9525">
          <a:noFill/>
          <a:miter lim="800000"/>
          <a:headEnd/>
          <a:tailEnd/>
        </a:ln>
      </xdr:spPr>
    </xdr:pic>
    <xdr:clientData/>
  </xdr:twoCellAnchor>
  <xdr:twoCellAnchor>
    <xdr:from>
      <xdr:col>2</xdr:col>
      <xdr:colOff>95250</xdr:colOff>
      <xdr:row>21</xdr:row>
      <xdr:rowOff>57150</xdr:rowOff>
    </xdr:from>
    <xdr:to>
      <xdr:col>2</xdr:col>
      <xdr:colOff>409575</xdr:colOff>
      <xdr:row>21</xdr:row>
      <xdr:rowOff>361950</xdr:rowOff>
    </xdr:to>
    <xdr:pic>
      <xdr:nvPicPr>
        <xdr:cNvPr id="19" name="图片 25"/>
        <xdr:cNvPicPr>
          <a:picLocks noChangeAspect="1" noChangeArrowheads="1"/>
        </xdr:cNvPicPr>
      </xdr:nvPicPr>
      <xdr:blipFill>
        <a:blip xmlns:r="http://schemas.openxmlformats.org/officeDocument/2006/relationships" r:embed="rId17" cstate="print"/>
        <a:srcRect/>
        <a:stretch>
          <a:fillRect/>
        </a:stretch>
      </xdr:blipFill>
      <xdr:spPr bwMode="auto">
        <a:xfrm>
          <a:off x="1704975" y="8439150"/>
          <a:ext cx="314325" cy="304800"/>
        </a:xfrm>
        <a:prstGeom prst="rect">
          <a:avLst/>
        </a:prstGeom>
        <a:noFill/>
        <a:ln w="9525">
          <a:noFill/>
          <a:miter lim="800000"/>
          <a:headEnd/>
          <a:tailEnd/>
        </a:ln>
      </xdr:spPr>
    </xdr:pic>
    <xdr:clientData/>
  </xdr:twoCellAnchor>
  <xdr:twoCellAnchor>
    <xdr:from>
      <xdr:col>2</xdr:col>
      <xdr:colOff>133350</xdr:colOff>
      <xdr:row>22</xdr:row>
      <xdr:rowOff>47625</xdr:rowOff>
    </xdr:from>
    <xdr:to>
      <xdr:col>2</xdr:col>
      <xdr:colOff>485775</xdr:colOff>
      <xdr:row>22</xdr:row>
      <xdr:rowOff>323850</xdr:rowOff>
    </xdr:to>
    <xdr:pic>
      <xdr:nvPicPr>
        <xdr:cNvPr id="20" name="Picture 20"/>
        <xdr:cNvPicPr>
          <a:picLocks noChangeAspect="1" noChangeArrowheads="1"/>
        </xdr:cNvPicPr>
      </xdr:nvPicPr>
      <xdr:blipFill>
        <a:blip xmlns:r="http://schemas.openxmlformats.org/officeDocument/2006/relationships" r:embed="rId18" cstate="print"/>
        <a:srcRect/>
        <a:stretch>
          <a:fillRect/>
        </a:stretch>
      </xdr:blipFill>
      <xdr:spPr bwMode="auto">
        <a:xfrm>
          <a:off x="1743075" y="8810625"/>
          <a:ext cx="352425" cy="276225"/>
        </a:xfrm>
        <a:prstGeom prst="rect">
          <a:avLst/>
        </a:prstGeom>
        <a:noFill/>
        <a:ln w="9525">
          <a:noFill/>
          <a:miter lim="800000"/>
          <a:headEnd/>
          <a:tailEnd/>
        </a:ln>
      </xdr:spPr>
    </xdr:pic>
    <xdr:clientData/>
  </xdr:twoCellAnchor>
  <xdr:twoCellAnchor>
    <xdr:from>
      <xdr:col>2</xdr:col>
      <xdr:colOff>161925</xdr:colOff>
      <xdr:row>23</xdr:row>
      <xdr:rowOff>38100</xdr:rowOff>
    </xdr:from>
    <xdr:to>
      <xdr:col>2</xdr:col>
      <xdr:colOff>466725</xdr:colOff>
      <xdr:row>23</xdr:row>
      <xdr:rowOff>304800</xdr:rowOff>
    </xdr:to>
    <xdr:pic>
      <xdr:nvPicPr>
        <xdr:cNvPr id="21" name="Picture 21"/>
        <xdr:cNvPicPr>
          <a:picLocks noChangeAspect="1" noChangeArrowheads="1"/>
        </xdr:cNvPicPr>
      </xdr:nvPicPr>
      <xdr:blipFill>
        <a:blip xmlns:r="http://schemas.openxmlformats.org/officeDocument/2006/relationships" r:embed="rId19" cstate="print"/>
        <a:srcRect/>
        <a:stretch>
          <a:fillRect/>
        </a:stretch>
      </xdr:blipFill>
      <xdr:spPr bwMode="auto">
        <a:xfrm>
          <a:off x="1771650" y="9182100"/>
          <a:ext cx="304800" cy="266700"/>
        </a:xfrm>
        <a:prstGeom prst="rect">
          <a:avLst/>
        </a:prstGeom>
        <a:noFill/>
        <a:ln w="9525">
          <a:noFill/>
          <a:miter lim="800000"/>
          <a:headEnd/>
          <a:tailEnd/>
        </a:ln>
      </xdr:spPr>
    </xdr:pic>
    <xdr:clientData/>
  </xdr:twoCellAnchor>
  <xdr:twoCellAnchor>
    <xdr:from>
      <xdr:col>2</xdr:col>
      <xdr:colOff>180975</xdr:colOff>
      <xdr:row>24</xdr:row>
      <xdr:rowOff>28575</xdr:rowOff>
    </xdr:from>
    <xdr:to>
      <xdr:col>2</xdr:col>
      <xdr:colOff>504825</xdr:colOff>
      <xdr:row>24</xdr:row>
      <xdr:rowOff>333375</xdr:rowOff>
    </xdr:to>
    <xdr:pic>
      <xdr:nvPicPr>
        <xdr:cNvPr id="22" name="Picture 22"/>
        <xdr:cNvPicPr>
          <a:picLocks noChangeAspect="1" noChangeArrowheads="1"/>
        </xdr:cNvPicPr>
      </xdr:nvPicPr>
      <xdr:blipFill>
        <a:blip xmlns:r="http://schemas.openxmlformats.org/officeDocument/2006/relationships" r:embed="rId20" cstate="print"/>
        <a:srcRect/>
        <a:stretch>
          <a:fillRect/>
        </a:stretch>
      </xdr:blipFill>
      <xdr:spPr bwMode="auto">
        <a:xfrm>
          <a:off x="1790700" y="9553575"/>
          <a:ext cx="323850" cy="304800"/>
        </a:xfrm>
        <a:prstGeom prst="rect">
          <a:avLst/>
        </a:prstGeom>
        <a:noFill/>
        <a:ln w="9525">
          <a:noFill/>
          <a:miter lim="800000"/>
          <a:headEnd/>
          <a:tailEnd/>
        </a:ln>
      </xdr:spPr>
    </xdr:pic>
    <xdr:clientData/>
  </xdr:twoCellAnchor>
  <xdr:twoCellAnchor>
    <xdr:from>
      <xdr:col>2</xdr:col>
      <xdr:colOff>85725</xdr:colOff>
      <xdr:row>25</xdr:row>
      <xdr:rowOff>66675</xdr:rowOff>
    </xdr:from>
    <xdr:to>
      <xdr:col>2</xdr:col>
      <xdr:colOff>447675</xdr:colOff>
      <xdr:row>25</xdr:row>
      <xdr:rowOff>323850</xdr:rowOff>
    </xdr:to>
    <xdr:pic>
      <xdr:nvPicPr>
        <xdr:cNvPr id="23" name="Picture 41"/>
        <xdr:cNvPicPr>
          <a:picLocks noChangeAspect="1" noChangeArrowheads="1"/>
        </xdr:cNvPicPr>
      </xdr:nvPicPr>
      <xdr:blipFill>
        <a:blip xmlns:r="http://schemas.openxmlformats.org/officeDocument/2006/relationships" r:embed="rId21" cstate="print"/>
        <a:srcRect/>
        <a:stretch>
          <a:fillRect/>
        </a:stretch>
      </xdr:blipFill>
      <xdr:spPr bwMode="auto">
        <a:xfrm>
          <a:off x="1695450" y="9972675"/>
          <a:ext cx="361950" cy="257175"/>
        </a:xfrm>
        <a:prstGeom prst="rect">
          <a:avLst/>
        </a:prstGeom>
        <a:noFill/>
        <a:ln w="9525">
          <a:noFill/>
          <a:miter lim="800000"/>
          <a:headEnd/>
          <a:tailEnd/>
        </a:ln>
      </xdr:spPr>
    </xdr:pic>
    <xdr:clientData/>
  </xdr:twoCellAnchor>
  <xdr:twoCellAnchor>
    <xdr:from>
      <xdr:col>2</xdr:col>
      <xdr:colOff>142875</xdr:colOff>
      <xdr:row>26</xdr:row>
      <xdr:rowOff>38100</xdr:rowOff>
    </xdr:from>
    <xdr:to>
      <xdr:col>2</xdr:col>
      <xdr:colOff>409575</xdr:colOff>
      <xdr:row>26</xdr:row>
      <xdr:rowOff>361950</xdr:rowOff>
    </xdr:to>
    <xdr:pic>
      <xdr:nvPicPr>
        <xdr:cNvPr id="24" name="图片 16"/>
        <xdr:cNvPicPr>
          <a:picLocks noChangeAspect="1" noChangeArrowheads="1"/>
        </xdr:cNvPicPr>
      </xdr:nvPicPr>
      <xdr:blipFill>
        <a:blip xmlns:r="http://schemas.openxmlformats.org/officeDocument/2006/relationships" r:embed="rId22" cstate="print"/>
        <a:srcRect/>
        <a:stretch>
          <a:fillRect/>
        </a:stretch>
      </xdr:blipFill>
      <xdr:spPr bwMode="auto">
        <a:xfrm>
          <a:off x="1752600" y="10325100"/>
          <a:ext cx="266700" cy="323850"/>
        </a:xfrm>
        <a:prstGeom prst="rect">
          <a:avLst/>
        </a:prstGeom>
        <a:noFill/>
        <a:ln w="9525">
          <a:noFill/>
          <a:miter lim="800000"/>
          <a:headEnd/>
          <a:tailEnd/>
        </a:ln>
      </xdr:spPr>
    </xdr:pic>
    <xdr:clientData/>
  </xdr:twoCellAnchor>
  <xdr:twoCellAnchor>
    <xdr:from>
      <xdr:col>2</xdr:col>
      <xdr:colOff>133350</xdr:colOff>
      <xdr:row>27</xdr:row>
      <xdr:rowOff>57150</xdr:rowOff>
    </xdr:from>
    <xdr:to>
      <xdr:col>2</xdr:col>
      <xdr:colOff>447675</xdr:colOff>
      <xdr:row>27</xdr:row>
      <xdr:rowOff>342900</xdr:rowOff>
    </xdr:to>
    <xdr:pic>
      <xdr:nvPicPr>
        <xdr:cNvPr id="25" name="Picture 60"/>
        <xdr:cNvPicPr>
          <a:picLocks noChangeAspect="1" noChangeArrowheads="1"/>
        </xdr:cNvPicPr>
      </xdr:nvPicPr>
      <xdr:blipFill>
        <a:blip xmlns:r="http://schemas.openxmlformats.org/officeDocument/2006/relationships" r:embed="rId23" cstate="print"/>
        <a:srcRect/>
        <a:stretch>
          <a:fillRect/>
        </a:stretch>
      </xdr:blipFill>
      <xdr:spPr bwMode="auto">
        <a:xfrm>
          <a:off x="1743075" y="10725150"/>
          <a:ext cx="314325" cy="285750"/>
        </a:xfrm>
        <a:prstGeom prst="rect">
          <a:avLst/>
        </a:prstGeom>
        <a:noFill/>
        <a:ln w="9525">
          <a:noFill/>
          <a:miter lim="800000"/>
          <a:headEnd/>
          <a:tailEnd/>
        </a:ln>
      </xdr:spPr>
    </xdr:pic>
    <xdr:clientData/>
  </xdr:twoCellAnchor>
  <xdr:twoCellAnchor>
    <xdr:from>
      <xdr:col>2</xdr:col>
      <xdr:colOff>114300</xdr:colOff>
      <xdr:row>28</xdr:row>
      <xdr:rowOff>66675</xdr:rowOff>
    </xdr:from>
    <xdr:to>
      <xdr:col>2</xdr:col>
      <xdr:colOff>466725</xdr:colOff>
      <xdr:row>28</xdr:row>
      <xdr:rowOff>304800</xdr:rowOff>
    </xdr:to>
    <xdr:pic>
      <xdr:nvPicPr>
        <xdr:cNvPr id="26" name="Picture 28"/>
        <xdr:cNvPicPr>
          <a:picLocks noChangeAspect="1" noChangeArrowheads="1"/>
        </xdr:cNvPicPr>
      </xdr:nvPicPr>
      <xdr:blipFill>
        <a:blip xmlns:r="http://schemas.openxmlformats.org/officeDocument/2006/relationships" r:embed="rId24" cstate="print"/>
        <a:srcRect/>
        <a:stretch>
          <a:fillRect/>
        </a:stretch>
      </xdr:blipFill>
      <xdr:spPr bwMode="auto">
        <a:xfrm>
          <a:off x="1724025" y="11115675"/>
          <a:ext cx="352425" cy="238125"/>
        </a:xfrm>
        <a:prstGeom prst="rect">
          <a:avLst/>
        </a:prstGeom>
        <a:noFill/>
        <a:ln w="9525">
          <a:noFill/>
          <a:miter lim="800000"/>
          <a:headEnd/>
          <a:tailEnd/>
        </a:ln>
      </xdr:spPr>
    </xdr:pic>
    <xdr:clientData/>
  </xdr:twoCellAnchor>
  <xdr:twoCellAnchor>
    <xdr:from>
      <xdr:col>2</xdr:col>
      <xdr:colOff>95250</xdr:colOff>
      <xdr:row>29</xdr:row>
      <xdr:rowOff>38100</xdr:rowOff>
    </xdr:from>
    <xdr:to>
      <xdr:col>2</xdr:col>
      <xdr:colOff>466725</xdr:colOff>
      <xdr:row>29</xdr:row>
      <xdr:rowOff>257175</xdr:rowOff>
    </xdr:to>
    <xdr:pic>
      <xdr:nvPicPr>
        <xdr:cNvPr id="27" name="Picture 66"/>
        <xdr:cNvPicPr>
          <a:picLocks noChangeAspect="1" noChangeArrowheads="1"/>
        </xdr:cNvPicPr>
      </xdr:nvPicPr>
      <xdr:blipFill>
        <a:blip xmlns:r="http://schemas.openxmlformats.org/officeDocument/2006/relationships" r:embed="rId25" cstate="print"/>
        <a:srcRect/>
        <a:stretch>
          <a:fillRect/>
        </a:stretch>
      </xdr:blipFill>
      <xdr:spPr bwMode="auto">
        <a:xfrm>
          <a:off x="1704975" y="11468100"/>
          <a:ext cx="371475" cy="219075"/>
        </a:xfrm>
        <a:prstGeom prst="rect">
          <a:avLst/>
        </a:prstGeom>
        <a:noFill/>
        <a:ln w="9525">
          <a:noFill/>
          <a:miter lim="800000"/>
          <a:headEnd/>
          <a:tailEnd/>
        </a:ln>
      </xdr:spPr>
    </xdr:pic>
    <xdr:clientData/>
  </xdr:twoCellAnchor>
  <xdr:twoCellAnchor>
    <xdr:from>
      <xdr:col>2</xdr:col>
      <xdr:colOff>104775</xdr:colOff>
      <xdr:row>30</xdr:row>
      <xdr:rowOff>57150</xdr:rowOff>
    </xdr:from>
    <xdr:to>
      <xdr:col>2</xdr:col>
      <xdr:colOff>419100</xdr:colOff>
      <xdr:row>30</xdr:row>
      <xdr:rowOff>361950</xdr:rowOff>
    </xdr:to>
    <xdr:pic>
      <xdr:nvPicPr>
        <xdr:cNvPr id="28" name="Picture 28"/>
        <xdr:cNvPicPr>
          <a:picLocks noChangeAspect="1" noChangeArrowheads="1"/>
        </xdr:cNvPicPr>
      </xdr:nvPicPr>
      <xdr:blipFill>
        <a:blip xmlns:r="http://schemas.openxmlformats.org/officeDocument/2006/relationships" r:embed="rId26" cstate="print"/>
        <a:srcRect/>
        <a:stretch>
          <a:fillRect/>
        </a:stretch>
      </xdr:blipFill>
      <xdr:spPr bwMode="auto">
        <a:xfrm>
          <a:off x="1714500" y="11868150"/>
          <a:ext cx="314325" cy="304800"/>
        </a:xfrm>
        <a:prstGeom prst="rect">
          <a:avLst/>
        </a:prstGeom>
        <a:noFill/>
        <a:ln w="9525">
          <a:noFill/>
          <a:miter lim="800000"/>
          <a:headEnd/>
          <a:tailEnd/>
        </a:ln>
      </xdr:spPr>
    </xdr:pic>
    <xdr:clientData/>
  </xdr:twoCellAnchor>
  <xdr:twoCellAnchor>
    <xdr:from>
      <xdr:col>2</xdr:col>
      <xdr:colOff>123825</xdr:colOff>
      <xdr:row>32</xdr:row>
      <xdr:rowOff>57150</xdr:rowOff>
    </xdr:from>
    <xdr:to>
      <xdr:col>2</xdr:col>
      <xdr:colOff>438150</xdr:colOff>
      <xdr:row>32</xdr:row>
      <xdr:rowOff>333375</xdr:rowOff>
    </xdr:to>
    <xdr:pic>
      <xdr:nvPicPr>
        <xdr:cNvPr id="29" name="Picture 29"/>
        <xdr:cNvPicPr>
          <a:picLocks noChangeAspect="1" noChangeArrowheads="1"/>
        </xdr:cNvPicPr>
      </xdr:nvPicPr>
      <xdr:blipFill>
        <a:blip xmlns:r="http://schemas.openxmlformats.org/officeDocument/2006/relationships" r:embed="rId27" cstate="print"/>
        <a:srcRect/>
        <a:stretch>
          <a:fillRect/>
        </a:stretch>
      </xdr:blipFill>
      <xdr:spPr bwMode="auto">
        <a:xfrm>
          <a:off x="1733550" y="12630150"/>
          <a:ext cx="314325" cy="276225"/>
        </a:xfrm>
        <a:prstGeom prst="rect">
          <a:avLst/>
        </a:prstGeom>
        <a:noFill/>
        <a:ln w="9525">
          <a:noFill/>
          <a:miter lim="800000"/>
          <a:headEnd/>
          <a:tailEnd/>
        </a:ln>
      </xdr:spPr>
    </xdr:pic>
    <xdr:clientData/>
  </xdr:twoCellAnchor>
  <xdr:twoCellAnchor>
    <xdr:from>
      <xdr:col>2</xdr:col>
      <xdr:colOff>152400</xdr:colOff>
      <xdr:row>19</xdr:row>
      <xdr:rowOff>47625</xdr:rowOff>
    </xdr:from>
    <xdr:to>
      <xdr:col>2</xdr:col>
      <xdr:colOff>409575</xdr:colOff>
      <xdr:row>19</xdr:row>
      <xdr:rowOff>333375</xdr:rowOff>
    </xdr:to>
    <xdr:pic>
      <xdr:nvPicPr>
        <xdr:cNvPr id="30" name="Picture 16"/>
        <xdr:cNvPicPr>
          <a:picLocks noChangeAspect="1" noChangeArrowheads="1"/>
        </xdr:cNvPicPr>
      </xdr:nvPicPr>
      <xdr:blipFill>
        <a:blip xmlns:r="http://schemas.openxmlformats.org/officeDocument/2006/relationships" r:embed="rId13" cstate="print"/>
        <a:srcRect/>
        <a:stretch>
          <a:fillRect/>
        </a:stretch>
      </xdr:blipFill>
      <xdr:spPr bwMode="auto">
        <a:xfrm>
          <a:off x="1762125" y="7667625"/>
          <a:ext cx="257175" cy="285750"/>
        </a:xfrm>
        <a:prstGeom prst="rect">
          <a:avLst/>
        </a:prstGeom>
        <a:noFill/>
        <a:ln w="9525">
          <a:noFill/>
          <a:miter lim="800000"/>
          <a:headEnd/>
          <a:tailEnd/>
        </a:ln>
      </xdr:spPr>
    </xdr:pic>
    <xdr:clientData/>
  </xdr:twoCellAnchor>
  <xdr:twoCellAnchor>
    <xdr:from>
      <xdr:col>2</xdr:col>
      <xdr:colOff>0</xdr:colOff>
      <xdr:row>44</xdr:row>
      <xdr:rowOff>0</xdr:rowOff>
    </xdr:from>
    <xdr:to>
      <xdr:col>2</xdr:col>
      <xdr:colOff>342900</xdr:colOff>
      <xdr:row>44</xdr:row>
      <xdr:rowOff>333375</xdr:rowOff>
    </xdr:to>
    <xdr:pic>
      <xdr:nvPicPr>
        <xdr:cNvPr id="31" name="Picture 30"/>
        <xdr:cNvPicPr>
          <a:picLocks noChangeAspect="1" noChangeArrowheads="1"/>
        </xdr:cNvPicPr>
      </xdr:nvPicPr>
      <xdr:blipFill>
        <a:blip xmlns:r="http://schemas.openxmlformats.org/officeDocument/2006/relationships" r:embed="rId28" cstate="print"/>
        <a:srcRect/>
        <a:stretch>
          <a:fillRect/>
        </a:stretch>
      </xdr:blipFill>
      <xdr:spPr bwMode="auto">
        <a:xfrm>
          <a:off x="1609725" y="17145000"/>
          <a:ext cx="342900" cy="333375"/>
        </a:xfrm>
        <a:prstGeom prst="rect">
          <a:avLst/>
        </a:prstGeom>
        <a:noFill/>
        <a:ln w="9525">
          <a:noFill/>
          <a:miter lim="800000"/>
          <a:headEnd/>
          <a:tailEnd/>
        </a:ln>
      </xdr:spPr>
    </xdr:pic>
    <xdr:clientData/>
  </xdr:twoCellAnchor>
  <xdr:twoCellAnchor>
    <xdr:from>
      <xdr:col>2</xdr:col>
      <xdr:colOff>76200</xdr:colOff>
      <xdr:row>45</xdr:row>
      <xdr:rowOff>57150</xdr:rowOff>
    </xdr:from>
    <xdr:to>
      <xdr:col>2</xdr:col>
      <xdr:colOff>400050</xdr:colOff>
      <xdr:row>45</xdr:row>
      <xdr:rowOff>352425</xdr:rowOff>
    </xdr:to>
    <xdr:pic>
      <xdr:nvPicPr>
        <xdr:cNvPr id="32" name="Picture 31"/>
        <xdr:cNvPicPr>
          <a:picLocks noChangeAspect="1" noChangeArrowheads="1"/>
        </xdr:cNvPicPr>
      </xdr:nvPicPr>
      <xdr:blipFill>
        <a:blip xmlns:r="http://schemas.openxmlformats.org/officeDocument/2006/relationships" r:embed="rId29" cstate="print"/>
        <a:srcRect/>
        <a:stretch>
          <a:fillRect/>
        </a:stretch>
      </xdr:blipFill>
      <xdr:spPr bwMode="auto">
        <a:xfrm>
          <a:off x="1685925" y="17583150"/>
          <a:ext cx="323850" cy="295275"/>
        </a:xfrm>
        <a:prstGeom prst="rect">
          <a:avLst/>
        </a:prstGeom>
        <a:noFill/>
        <a:ln w="9525">
          <a:noFill/>
          <a:miter lim="800000"/>
          <a:headEnd/>
          <a:tailEnd/>
        </a:ln>
      </xdr:spPr>
    </xdr:pic>
    <xdr:clientData/>
  </xdr:twoCellAnchor>
  <xdr:twoCellAnchor>
    <xdr:from>
      <xdr:col>2</xdr:col>
      <xdr:colOff>85725</xdr:colOff>
      <xdr:row>47</xdr:row>
      <xdr:rowOff>76200</xdr:rowOff>
    </xdr:from>
    <xdr:to>
      <xdr:col>2</xdr:col>
      <xdr:colOff>409575</xdr:colOff>
      <xdr:row>47</xdr:row>
      <xdr:rowOff>361950</xdr:rowOff>
    </xdr:to>
    <xdr:pic>
      <xdr:nvPicPr>
        <xdr:cNvPr id="33" name="Picture 33"/>
        <xdr:cNvPicPr>
          <a:picLocks noChangeAspect="1" noChangeArrowheads="1"/>
        </xdr:cNvPicPr>
      </xdr:nvPicPr>
      <xdr:blipFill>
        <a:blip xmlns:r="http://schemas.openxmlformats.org/officeDocument/2006/relationships" r:embed="rId30" cstate="print"/>
        <a:srcRect/>
        <a:stretch>
          <a:fillRect/>
        </a:stretch>
      </xdr:blipFill>
      <xdr:spPr bwMode="auto">
        <a:xfrm>
          <a:off x="1695450" y="18364200"/>
          <a:ext cx="323850" cy="285750"/>
        </a:xfrm>
        <a:prstGeom prst="rect">
          <a:avLst/>
        </a:prstGeom>
        <a:noFill/>
        <a:ln w="9525">
          <a:noFill/>
          <a:miter lim="800000"/>
          <a:headEnd/>
          <a:tailEnd/>
        </a:ln>
      </xdr:spPr>
    </xdr:pic>
    <xdr:clientData/>
  </xdr:twoCellAnchor>
  <xdr:twoCellAnchor>
    <xdr:from>
      <xdr:col>2</xdr:col>
      <xdr:colOff>0</xdr:colOff>
      <xdr:row>50</xdr:row>
      <xdr:rowOff>0</xdr:rowOff>
    </xdr:from>
    <xdr:to>
      <xdr:col>2</xdr:col>
      <xdr:colOff>314325</xdr:colOff>
      <xdr:row>50</xdr:row>
      <xdr:rowOff>285750</xdr:rowOff>
    </xdr:to>
    <xdr:pic>
      <xdr:nvPicPr>
        <xdr:cNvPr id="34" name="Picture 34"/>
        <xdr:cNvPicPr>
          <a:picLocks noChangeAspect="1" noChangeArrowheads="1"/>
        </xdr:cNvPicPr>
      </xdr:nvPicPr>
      <xdr:blipFill>
        <a:blip xmlns:r="http://schemas.openxmlformats.org/officeDocument/2006/relationships" r:embed="rId31" cstate="print"/>
        <a:srcRect/>
        <a:stretch>
          <a:fillRect/>
        </a:stretch>
      </xdr:blipFill>
      <xdr:spPr bwMode="auto">
        <a:xfrm>
          <a:off x="1609725" y="19431000"/>
          <a:ext cx="314325" cy="285750"/>
        </a:xfrm>
        <a:prstGeom prst="rect">
          <a:avLst/>
        </a:prstGeom>
        <a:noFill/>
        <a:ln w="9525">
          <a:noFill/>
          <a:miter lim="800000"/>
          <a:headEnd/>
          <a:tailEnd/>
        </a:ln>
      </xdr:spPr>
    </xdr:pic>
    <xdr:clientData/>
  </xdr:twoCellAnchor>
  <xdr:twoCellAnchor>
    <xdr:from>
      <xdr:col>2</xdr:col>
      <xdr:colOff>0</xdr:colOff>
      <xdr:row>51</xdr:row>
      <xdr:rowOff>0</xdr:rowOff>
    </xdr:from>
    <xdr:to>
      <xdr:col>2</xdr:col>
      <xdr:colOff>266700</xdr:colOff>
      <xdr:row>51</xdr:row>
      <xdr:rowOff>285750</xdr:rowOff>
    </xdr:to>
    <xdr:pic>
      <xdr:nvPicPr>
        <xdr:cNvPr id="35" name="Picture 35"/>
        <xdr:cNvPicPr>
          <a:picLocks noChangeAspect="1" noChangeArrowheads="1"/>
        </xdr:cNvPicPr>
      </xdr:nvPicPr>
      <xdr:blipFill>
        <a:blip xmlns:r="http://schemas.openxmlformats.org/officeDocument/2006/relationships" r:embed="rId32" cstate="print"/>
        <a:srcRect/>
        <a:stretch>
          <a:fillRect/>
        </a:stretch>
      </xdr:blipFill>
      <xdr:spPr bwMode="auto">
        <a:xfrm>
          <a:off x="1609725" y="19812000"/>
          <a:ext cx="266700" cy="285750"/>
        </a:xfrm>
        <a:prstGeom prst="rect">
          <a:avLst/>
        </a:prstGeom>
        <a:noFill/>
        <a:ln w="1">
          <a:noFill/>
          <a:miter lim="800000"/>
          <a:headEnd/>
          <a:tailEnd/>
        </a:ln>
      </xdr:spPr>
    </xdr:pic>
    <xdr:clientData/>
  </xdr:twoCellAnchor>
  <xdr:twoCellAnchor>
    <xdr:from>
      <xdr:col>2</xdr:col>
      <xdr:colOff>0</xdr:colOff>
      <xdr:row>52</xdr:row>
      <xdr:rowOff>0</xdr:rowOff>
    </xdr:from>
    <xdr:to>
      <xdr:col>2</xdr:col>
      <xdr:colOff>342900</xdr:colOff>
      <xdr:row>52</xdr:row>
      <xdr:rowOff>266700</xdr:rowOff>
    </xdr:to>
    <xdr:pic>
      <xdr:nvPicPr>
        <xdr:cNvPr id="36" name="Picture 36"/>
        <xdr:cNvPicPr>
          <a:picLocks noChangeAspect="1" noChangeArrowheads="1"/>
        </xdr:cNvPicPr>
      </xdr:nvPicPr>
      <xdr:blipFill>
        <a:blip xmlns:r="http://schemas.openxmlformats.org/officeDocument/2006/relationships" r:embed="rId33" cstate="print"/>
        <a:srcRect/>
        <a:stretch>
          <a:fillRect/>
        </a:stretch>
      </xdr:blipFill>
      <xdr:spPr bwMode="auto">
        <a:xfrm>
          <a:off x="1609725" y="20193000"/>
          <a:ext cx="342900" cy="266700"/>
        </a:xfrm>
        <a:prstGeom prst="rect">
          <a:avLst/>
        </a:prstGeom>
        <a:noFill/>
        <a:ln w="9525">
          <a:noFill/>
          <a:miter lim="800000"/>
          <a:headEnd/>
          <a:tailEnd/>
        </a:ln>
      </xdr:spPr>
    </xdr:pic>
    <xdr:clientData/>
  </xdr:twoCellAnchor>
  <xdr:twoCellAnchor>
    <xdr:from>
      <xdr:col>2</xdr:col>
      <xdr:colOff>0</xdr:colOff>
      <xdr:row>53</xdr:row>
      <xdr:rowOff>0</xdr:rowOff>
    </xdr:from>
    <xdr:to>
      <xdr:col>2</xdr:col>
      <xdr:colOff>323850</xdr:colOff>
      <xdr:row>53</xdr:row>
      <xdr:rowOff>200025</xdr:rowOff>
    </xdr:to>
    <xdr:pic>
      <xdr:nvPicPr>
        <xdr:cNvPr id="37" name="Picture 37"/>
        <xdr:cNvPicPr>
          <a:picLocks noChangeAspect="1" noChangeArrowheads="1"/>
        </xdr:cNvPicPr>
      </xdr:nvPicPr>
      <xdr:blipFill>
        <a:blip xmlns:r="http://schemas.openxmlformats.org/officeDocument/2006/relationships" r:embed="rId34" cstate="print"/>
        <a:srcRect/>
        <a:stretch>
          <a:fillRect/>
        </a:stretch>
      </xdr:blipFill>
      <xdr:spPr bwMode="auto">
        <a:xfrm>
          <a:off x="1609725" y="20574000"/>
          <a:ext cx="323850" cy="200025"/>
        </a:xfrm>
        <a:prstGeom prst="rect">
          <a:avLst/>
        </a:prstGeom>
        <a:noFill/>
        <a:ln w="9525">
          <a:noFill/>
          <a:miter lim="800000"/>
          <a:headEnd/>
          <a:tailEnd/>
        </a:ln>
      </xdr:spPr>
    </xdr:pic>
    <xdr:clientData/>
  </xdr:twoCellAnchor>
  <xdr:twoCellAnchor>
    <xdr:from>
      <xdr:col>2</xdr:col>
      <xdr:colOff>0</xdr:colOff>
      <xdr:row>54</xdr:row>
      <xdr:rowOff>0</xdr:rowOff>
    </xdr:from>
    <xdr:to>
      <xdr:col>2</xdr:col>
      <xdr:colOff>323850</xdr:colOff>
      <xdr:row>54</xdr:row>
      <xdr:rowOff>209550</xdr:rowOff>
    </xdr:to>
    <xdr:pic>
      <xdr:nvPicPr>
        <xdr:cNvPr id="38" name="Picture 38"/>
        <xdr:cNvPicPr>
          <a:picLocks noChangeAspect="1" noChangeArrowheads="1"/>
        </xdr:cNvPicPr>
      </xdr:nvPicPr>
      <xdr:blipFill>
        <a:blip xmlns:r="http://schemas.openxmlformats.org/officeDocument/2006/relationships" r:embed="rId35" cstate="print"/>
        <a:srcRect/>
        <a:stretch>
          <a:fillRect/>
        </a:stretch>
      </xdr:blipFill>
      <xdr:spPr bwMode="auto">
        <a:xfrm>
          <a:off x="1609725" y="20955000"/>
          <a:ext cx="323850" cy="209550"/>
        </a:xfrm>
        <a:prstGeom prst="rect">
          <a:avLst/>
        </a:prstGeom>
        <a:noFill/>
        <a:ln w="9525">
          <a:noFill/>
          <a:miter lim="800000"/>
          <a:headEnd/>
          <a:tailEnd/>
        </a:ln>
      </xdr:spPr>
    </xdr:pic>
    <xdr:clientData/>
  </xdr:twoCellAnchor>
  <xdr:twoCellAnchor>
    <xdr:from>
      <xdr:col>2</xdr:col>
      <xdr:colOff>0</xdr:colOff>
      <xdr:row>55</xdr:row>
      <xdr:rowOff>0</xdr:rowOff>
    </xdr:from>
    <xdr:to>
      <xdr:col>2</xdr:col>
      <xdr:colOff>314325</xdr:colOff>
      <xdr:row>55</xdr:row>
      <xdr:rowOff>304800</xdr:rowOff>
    </xdr:to>
    <xdr:pic>
      <xdr:nvPicPr>
        <xdr:cNvPr id="39" name="Picture 39"/>
        <xdr:cNvPicPr>
          <a:picLocks noChangeAspect="1" noChangeArrowheads="1"/>
        </xdr:cNvPicPr>
      </xdr:nvPicPr>
      <xdr:blipFill>
        <a:blip xmlns:r="http://schemas.openxmlformats.org/officeDocument/2006/relationships" r:embed="rId36" cstate="print"/>
        <a:srcRect/>
        <a:stretch>
          <a:fillRect/>
        </a:stretch>
      </xdr:blipFill>
      <xdr:spPr bwMode="auto">
        <a:xfrm>
          <a:off x="1609725" y="21336000"/>
          <a:ext cx="314325" cy="304800"/>
        </a:xfrm>
        <a:prstGeom prst="rect">
          <a:avLst/>
        </a:prstGeom>
        <a:noFill/>
        <a:ln w="9525">
          <a:noFill/>
          <a:miter lim="800000"/>
          <a:headEnd/>
          <a:tailEnd/>
        </a:ln>
      </xdr:spPr>
    </xdr:pic>
    <xdr:clientData/>
  </xdr:twoCellAnchor>
  <xdr:twoCellAnchor>
    <xdr:from>
      <xdr:col>2</xdr:col>
      <xdr:colOff>0</xdr:colOff>
      <xdr:row>56</xdr:row>
      <xdr:rowOff>0</xdr:rowOff>
    </xdr:from>
    <xdr:to>
      <xdr:col>2</xdr:col>
      <xdr:colOff>352425</xdr:colOff>
      <xdr:row>56</xdr:row>
      <xdr:rowOff>304800</xdr:rowOff>
    </xdr:to>
    <xdr:pic>
      <xdr:nvPicPr>
        <xdr:cNvPr id="40" name="Picture 40"/>
        <xdr:cNvPicPr>
          <a:picLocks noChangeAspect="1" noChangeArrowheads="1"/>
        </xdr:cNvPicPr>
      </xdr:nvPicPr>
      <xdr:blipFill>
        <a:blip xmlns:r="http://schemas.openxmlformats.org/officeDocument/2006/relationships" r:embed="rId37" cstate="print"/>
        <a:srcRect/>
        <a:stretch>
          <a:fillRect/>
        </a:stretch>
      </xdr:blipFill>
      <xdr:spPr bwMode="auto">
        <a:xfrm>
          <a:off x="1609725" y="21717000"/>
          <a:ext cx="352425" cy="304800"/>
        </a:xfrm>
        <a:prstGeom prst="rect">
          <a:avLst/>
        </a:prstGeom>
        <a:noFill/>
        <a:ln w="9525">
          <a:noFill/>
          <a:miter lim="800000"/>
          <a:headEnd/>
          <a:tailEnd/>
        </a:ln>
      </xdr:spPr>
    </xdr:pic>
    <xdr:clientData/>
  </xdr:twoCellAnchor>
  <xdr:twoCellAnchor>
    <xdr:from>
      <xdr:col>2</xdr:col>
      <xdr:colOff>47625</xdr:colOff>
      <xdr:row>58</xdr:row>
      <xdr:rowOff>47625</xdr:rowOff>
    </xdr:from>
    <xdr:to>
      <xdr:col>2</xdr:col>
      <xdr:colOff>361950</xdr:colOff>
      <xdr:row>58</xdr:row>
      <xdr:rowOff>352425</xdr:rowOff>
    </xdr:to>
    <xdr:pic>
      <xdr:nvPicPr>
        <xdr:cNvPr id="41" name="Picture 42"/>
        <xdr:cNvPicPr>
          <a:picLocks noChangeAspect="1" noChangeArrowheads="1"/>
        </xdr:cNvPicPr>
      </xdr:nvPicPr>
      <xdr:blipFill>
        <a:blip xmlns:r="http://schemas.openxmlformats.org/officeDocument/2006/relationships" r:embed="rId38" cstate="print"/>
        <a:srcRect/>
        <a:stretch>
          <a:fillRect/>
        </a:stretch>
      </xdr:blipFill>
      <xdr:spPr bwMode="auto">
        <a:xfrm>
          <a:off x="1657350" y="22526625"/>
          <a:ext cx="314325" cy="304800"/>
        </a:xfrm>
        <a:prstGeom prst="rect">
          <a:avLst/>
        </a:prstGeom>
        <a:noFill/>
        <a:ln w="9525">
          <a:noFill/>
          <a:miter lim="800000"/>
          <a:headEnd/>
          <a:tailEnd/>
        </a:ln>
      </xdr:spPr>
    </xdr:pic>
    <xdr:clientData/>
  </xdr:twoCellAnchor>
  <xdr:twoCellAnchor>
    <xdr:from>
      <xdr:col>2</xdr:col>
      <xdr:colOff>0</xdr:colOff>
      <xdr:row>60</xdr:row>
      <xdr:rowOff>0</xdr:rowOff>
    </xdr:from>
    <xdr:to>
      <xdr:col>2</xdr:col>
      <xdr:colOff>342900</xdr:colOff>
      <xdr:row>60</xdr:row>
      <xdr:rowOff>304800</xdr:rowOff>
    </xdr:to>
    <xdr:pic>
      <xdr:nvPicPr>
        <xdr:cNvPr id="42" name="Picture 44"/>
        <xdr:cNvPicPr>
          <a:picLocks noChangeAspect="1" noChangeArrowheads="1"/>
        </xdr:cNvPicPr>
      </xdr:nvPicPr>
      <xdr:blipFill>
        <a:blip xmlns:r="http://schemas.openxmlformats.org/officeDocument/2006/relationships" r:embed="rId39" cstate="print"/>
        <a:srcRect/>
        <a:stretch>
          <a:fillRect/>
        </a:stretch>
      </xdr:blipFill>
      <xdr:spPr bwMode="auto">
        <a:xfrm>
          <a:off x="1609725" y="23241000"/>
          <a:ext cx="342900" cy="304800"/>
        </a:xfrm>
        <a:prstGeom prst="rect">
          <a:avLst/>
        </a:prstGeom>
        <a:noFill/>
        <a:ln w="9525">
          <a:noFill/>
          <a:miter lim="800000"/>
          <a:headEnd/>
          <a:tailEnd/>
        </a:ln>
      </xdr:spPr>
    </xdr:pic>
    <xdr:clientData/>
  </xdr:twoCellAnchor>
  <xdr:twoCellAnchor>
    <xdr:from>
      <xdr:col>2</xdr:col>
      <xdr:colOff>0</xdr:colOff>
      <xdr:row>61</xdr:row>
      <xdr:rowOff>0</xdr:rowOff>
    </xdr:from>
    <xdr:to>
      <xdr:col>2</xdr:col>
      <xdr:colOff>342900</xdr:colOff>
      <xdr:row>61</xdr:row>
      <xdr:rowOff>304800</xdr:rowOff>
    </xdr:to>
    <xdr:pic>
      <xdr:nvPicPr>
        <xdr:cNvPr id="43" name="Picture 45"/>
        <xdr:cNvPicPr>
          <a:picLocks noChangeAspect="1" noChangeArrowheads="1"/>
        </xdr:cNvPicPr>
      </xdr:nvPicPr>
      <xdr:blipFill>
        <a:blip xmlns:r="http://schemas.openxmlformats.org/officeDocument/2006/relationships" r:embed="rId39" cstate="print"/>
        <a:srcRect/>
        <a:stretch>
          <a:fillRect/>
        </a:stretch>
      </xdr:blipFill>
      <xdr:spPr bwMode="auto">
        <a:xfrm>
          <a:off x="1609725" y="23622000"/>
          <a:ext cx="342900" cy="304800"/>
        </a:xfrm>
        <a:prstGeom prst="rect">
          <a:avLst/>
        </a:prstGeom>
        <a:noFill/>
        <a:ln w="9525">
          <a:noFill/>
          <a:miter lim="800000"/>
          <a:headEnd/>
          <a:tailEnd/>
        </a:ln>
      </xdr:spPr>
    </xdr:pic>
    <xdr:clientData/>
  </xdr:twoCellAnchor>
  <xdr:twoCellAnchor>
    <xdr:from>
      <xdr:col>2</xdr:col>
      <xdr:colOff>0</xdr:colOff>
      <xdr:row>62</xdr:row>
      <xdr:rowOff>0</xdr:rowOff>
    </xdr:from>
    <xdr:to>
      <xdr:col>2</xdr:col>
      <xdr:colOff>342900</xdr:colOff>
      <xdr:row>62</xdr:row>
      <xdr:rowOff>304800</xdr:rowOff>
    </xdr:to>
    <xdr:pic>
      <xdr:nvPicPr>
        <xdr:cNvPr id="44" name="Picture 46"/>
        <xdr:cNvPicPr>
          <a:picLocks noChangeAspect="1" noChangeArrowheads="1"/>
        </xdr:cNvPicPr>
      </xdr:nvPicPr>
      <xdr:blipFill>
        <a:blip xmlns:r="http://schemas.openxmlformats.org/officeDocument/2006/relationships" r:embed="rId39" cstate="print"/>
        <a:srcRect/>
        <a:stretch>
          <a:fillRect/>
        </a:stretch>
      </xdr:blipFill>
      <xdr:spPr bwMode="auto">
        <a:xfrm>
          <a:off x="1609725" y="24003000"/>
          <a:ext cx="342900" cy="304800"/>
        </a:xfrm>
        <a:prstGeom prst="rect">
          <a:avLst/>
        </a:prstGeom>
        <a:noFill/>
        <a:ln w="9525">
          <a:noFill/>
          <a:miter lim="800000"/>
          <a:headEnd/>
          <a:tailEnd/>
        </a:ln>
      </xdr:spPr>
    </xdr:pic>
    <xdr:clientData/>
  </xdr:twoCellAnchor>
  <xdr:twoCellAnchor>
    <xdr:from>
      <xdr:col>2</xdr:col>
      <xdr:colOff>0</xdr:colOff>
      <xdr:row>63</xdr:row>
      <xdr:rowOff>0</xdr:rowOff>
    </xdr:from>
    <xdr:to>
      <xdr:col>2</xdr:col>
      <xdr:colOff>342900</xdr:colOff>
      <xdr:row>63</xdr:row>
      <xdr:rowOff>304800</xdr:rowOff>
    </xdr:to>
    <xdr:pic>
      <xdr:nvPicPr>
        <xdr:cNvPr id="45" name="Picture 47"/>
        <xdr:cNvPicPr>
          <a:picLocks noChangeAspect="1" noChangeArrowheads="1"/>
        </xdr:cNvPicPr>
      </xdr:nvPicPr>
      <xdr:blipFill>
        <a:blip xmlns:r="http://schemas.openxmlformats.org/officeDocument/2006/relationships" r:embed="rId39" cstate="print"/>
        <a:srcRect/>
        <a:stretch>
          <a:fillRect/>
        </a:stretch>
      </xdr:blipFill>
      <xdr:spPr bwMode="auto">
        <a:xfrm>
          <a:off x="1609725" y="24384000"/>
          <a:ext cx="342900" cy="304800"/>
        </a:xfrm>
        <a:prstGeom prst="rect">
          <a:avLst/>
        </a:prstGeom>
        <a:noFill/>
        <a:ln w="9525">
          <a:noFill/>
          <a:miter lim="800000"/>
          <a:headEnd/>
          <a:tailEnd/>
        </a:ln>
      </xdr:spPr>
    </xdr:pic>
    <xdr:clientData/>
  </xdr:twoCellAnchor>
  <xdr:twoCellAnchor>
    <xdr:from>
      <xdr:col>2</xdr:col>
      <xdr:colOff>0</xdr:colOff>
      <xdr:row>64</xdr:row>
      <xdr:rowOff>0</xdr:rowOff>
    </xdr:from>
    <xdr:to>
      <xdr:col>2</xdr:col>
      <xdr:colOff>266700</xdr:colOff>
      <xdr:row>64</xdr:row>
      <xdr:rowOff>304800</xdr:rowOff>
    </xdr:to>
    <xdr:pic>
      <xdr:nvPicPr>
        <xdr:cNvPr id="46" name="Picture 48"/>
        <xdr:cNvPicPr>
          <a:picLocks noChangeAspect="1" noChangeArrowheads="1"/>
        </xdr:cNvPicPr>
      </xdr:nvPicPr>
      <xdr:blipFill>
        <a:blip xmlns:r="http://schemas.openxmlformats.org/officeDocument/2006/relationships" r:embed="rId40" cstate="print"/>
        <a:srcRect/>
        <a:stretch>
          <a:fillRect/>
        </a:stretch>
      </xdr:blipFill>
      <xdr:spPr bwMode="auto">
        <a:xfrm>
          <a:off x="1609725" y="24765000"/>
          <a:ext cx="266700" cy="304800"/>
        </a:xfrm>
        <a:prstGeom prst="rect">
          <a:avLst/>
        </a:prstGeom>
        <a:noFill/>
        <a:ln w="9525">
          <a:noFill/>
          <a:miter lim="800000"/>
          <a:headEnd/>
          <a:tailEnd/>
        </a:ln>
      </xdr:spPr>
    </xdr:pic>
    <xdr:clientData/>
  </xdr:twoCellAnchor>
  <xdr:twoCellAnchor>
    <xdr:from>
      <xdr:col>2</xdr:col>
      <xdr:colOff>0</xdr:colOff>
      <xdr:row>65</xdr:row>
      <xdr:rowOff>0</xdr:rowOff>
    </xdr:from>
    <xdr:to>
      <xdr:col>2</xdr:col>
      <xdr:colOff>285750</xdr:colOff>
      <xdr:row>65</xdr:row>
      <xdr:rowOff>314325</xdr:rowOff>
    </xdr:to>
    <xdr:pic>
      <xdr:nvPicPr>
        <xdr:cNvPr id="47" name="Picture 49"/>
        <xdr:cNvPicPr>
          <a:picLocks noChangeAspect="1" noChangeArrowheads="1"/>
        </xdr:cNvPicPr>
      </xdr:nvPicPr>
      <xdr:blipFill>
        <a:blip xmlns:r="http://schemas.openxmlformats.org/officeDocument/2006/relationships" r:embed="rId41" cstate="print"/>
        <a:srcRect/>
        <a:stretch>
          <a:fillRect/>
        </a:stretch>
      </xdr:blipFill>
      <xdr:spPr bwMode="auto">
        <a:xfrm>
          <a:off x="1609725" y="25146000"/>
          <a:ext cx="285750" cy="314325"/>
        </a:xfrm>
        <a:prstGeom prst="rect">
          <a:avLst/>
        </a:prstGeom>
        <a:noFill/>
        <a:ln w="9525">
          <a:noFill/>
          <a:miter lim="800000"/>
          <a:headEnd/>
          <a:tailEnd/>
        </a:ln>
      </xdr:spPr>
    </xdr:pic>
    <xdr:clientData/>
  </xdr:twoCellAnchor>
  <xdr:twoCellAnchor>
    <xdr:from>
      <xdr:col>2</xdr:col>
      <xdr:colOff>0</xdr:colOff>
      <xdr:row>66</xdr:row>
      <xdr:rowOff>66675</xdr:rowOff>
    </xdr:from>
    <xdr:to>
      <xdr:col>2</xdr:col>
      <xdr:colOff>542925</xdr:colOff>
      <xdr:row>66</xdr:row>
      <xdr:rowOff>295275</xdr:rowOff>
    </xdr:to>
    <xdr:pic>
      <xdr:nvPicPr>
        <xdr:cNvPr id="48" name="Picture 3884"/>
        <xdr:cNvPicPr>
          <a:picLocks noChangeAspect="1" noChangeArrowheads="1"/>
        </xdr:cNvPicPr>
      </xdr:nvPicPr>
      <xdr:blipFill>
        <a:blip xmlns:r="http://schemas.openxmlformats.org/officeDocument/2006/relationships" r:embed="rId42" cstate="print"/>
        <a:srcRect/>
        <a:stretch>
          <a:fillRect/>
        </a:stretch>
      </xdr:blipFill>
      <xdr:spPr bwMode="auto">
        <a:xfrm>
          <a:off x="1609725" y="25593675"/>
          <a:ext cx="542925" cy="228600"/>
        </a:xfrm>
        <a:prstGeom prst="rect">
          <a:avLst/>
        </a:prstGeom>
        <a:noFill/>
        <a:ln w="1">
          <a:noFill/>
          <a:miter lim="800000"/>
          <a:headEnd/>
          <a:tailEnd/>
        </a:ln>
      </xdr:spPr>
    </xdr:pic>
    <xdr:clientData/>
  </xdr:twoCellAnchor>
  <xdr:twoCellAnchor>
    <xdr:from>
      <xdr:col>2</xdr:col>
      <xdr:colOff>0</xdr:colOff>
      <xdr:row>67</xdr:row>
      <xdr:rowOff>0</xdr:rowOff>
    </xdr:from>
    <xdr:to>
      <xdr:col>2</xdr:col>
      <xdr:colOff>552450</xdr:colOff>
      <xdr:row>67</xdr:row>
      <xdr:rowOff>228600</xdr:rowOff>
    </xdr:to>
    <xdr:pic>
      <xdr:nvPicPr>
        <xdr:cNvPr id="49" name="Picture 3885"/>
        <xdr:cNvPicPr>
          <a:picLocks noChangeAspect="1" noChangeArrowheads="1"/>
        </xdr:cNvPicPr>
      </xdr:nvPicPr>
      <xdr:blipFill>
        <a:blip xmlns:r="http://schemas.openxmlformats.org/officeDocument/2006/relationships" r:embed="rId43" cstate="print"/>
        <a:srcRect/>
        <a:stretch>
          <a:fillRect/>
        </a:stretch>
      </xdr:blipFill>
      <xdr:spPr bwMode="auto">
        <a:xfrm>
          <a:off x="1609725" y="25908000"/>
          <a:ext cx="552450" cy="228600"/>
        </a:xfrm>
        <a:prstGeom prst="rect">
          <a:avLst/>
        </a:prstGeom>
        <a:noFill/>
        <a:ln w="1">
          <a:noFill/>
          <a:miter lim="800000"/>
          <a:headEnd/>
          <a:tailEnd/>
        </a:ln>
      </xdr:spPr>
    </xdr:pic>
    <xdr:clientData/>
  </xdr:twoCellAnchor>
  <xdr:twoCellAnchor>
    <xdr:from>
      <xdr:col>2</xdr:col>
      <xdr:colOff>0</xdr:colOff>
      <xdr:row>68</xdr:row>
      <xdr:rowOff>0</xdr:rowOff>
    </xdr:from>
    <xdr:to>
      <xdr:col>2</xdr:col>
      <xdr:colOff>523875</xdr:colOff>
      <xdr:row>68</xdr:row>
      <xdr:rowOff>228600</xdr:rowOff>
    </xdr:to>
    <xdr:pic>
      <xdr:nvPicPr>
        <xdr:cNvPr id="50" name="Picture 3886"/>
        <xdr:cNvPicPr>
          <a:picLocks noChangeAspect="1" noChangeArrowheads="1"/>
        </xdr:cNvPicPr>
      </xdr:nvPicPr>
      <xdr:blipFill>
        <a:blip xmlns:r="http://schemas.openxmlformats.org/officeDocument/2006/relationships" r:embed="rId44" cstate="print"/>
        <a:srcRect/>
        <a:stretch>
          <a:fillRect/>
        </a:stretch>
      </xdr:blipFill>
      <xdr:spPr bwMode="auto">
        <a:xfrm>
          <a:off x="1609725" y="26289000"/>
          <a:ext cx="523875" cy="228600"/>
        </a:xfrm>
        <a:prstGeom prst="rect">
          <a:avLst/>
        </a:prstGeom>
        <a:noFill/>
        <a:ln w="1">
          <a:noFill/>
          <a:miter lim="800000"/>
          <a:headEnd/>
          <a:tailEnd/>
        </a:ln>
      </xdr:spPr>
    </xdr:pic>
    <xdr:clientData/>
  </xdr:twoCellAnchor>
  <xdr:twoCellAnchor>
    <xdr:from>
      <xdr:col>2</xdr:col>
      <xdr:colOff>0</xdr:colOff>
      <xdr:row>69</xdr:row>
      <xdr:rowOff>0</xdr:rowOff>
    </xdr:from>
    <xdr:to>
      <xdr:col>3</xdr:col>
      <xdr:colOff>19050</xdr:colOff>
      <xdr:row>69</xdr:row>
      <xdr:rowOff>295275</xdr:rowOff>
    </xdr:to>
    <xdr:pic>
      <xdr:nvPicPr>
        <xdr:cNvPr id="51" name="Picture 3887"/>
        <xdr:cNvPicPr>
          <a:picLocks noChangeAspect="1" noChangeArrowheads="1"/>
        </xdr:cNvPicPr>
      </xdr:nvPicPr>
      <xdr:blipFill>
        <a:blip xmlns:r="http://schemas.openxmlformats.org/officeDocument/2006/relationships" r:embed="rId45" cstate="print"/>
        <a:srcRect/>
        <a:stretch>
          <a:fillRect/>
        </a:stretch>
      </xdr:blipFill>
      <xdr:spPr bwMode="auto">
        <a:xfrm>
          <a:off x="1609725" y="26670000"/>
          <a:ext cx="590550" cy="295275"/>
        </a:xfrm>
        <a:prstGeom prst="rect">
          <a:avLst/>
        </a:prstGeom>
        <a:noFill/>
        <a:ln w="1">
          <a:noFill/>
          <a:miter lim="800000"/>
          <a:headEnd/>
          <a:tailEnd/>
        </a:ln>
      </xdr:spPr>
    </xdr:pic>
    <xdr:clientData/>
  </xdr:twoCellAnchor>
  <xdr:twoCellAnchor>
    <xdr:from>
      <xdr:col>2</xdr:col>
      <xdr:colOff>0</xdr:colOff>
      <xdr:row>70</xdr:row>
      <xdr:rowOff>0</xdr:rowOff>
    </xdr:from>
    <xdr:to>
      <xdr:col>3</xdr:col>
      <xdr:colOff>19050</xdr:colOff>
      <xdr:row>70</xdr:row>
      <xdr:rowOff>247650</xdr:rowOff>
    </xdr:to>
    <xdr:pic>
      <xdr:nvPicPr>
        <xdr:cNvPr id="52" name="Picture 3888"/>
        <xdr:cNvPicPr>
          <a:picLocks noChangeAspect="1" noChangeArrowheads="1"/>
        </xdr:cNvPicPr>
      </xdr:nvPicPr>
      <xdr:blipFill>
        <a:blip xmlns:r="http://schemas.openxmlformats.org/officeDocument/2006/relationships" r:embed="rId46" cstate="print"/>
        <a:srcRect/>
        <a:stretch>
          <a:fillRect/>
        </a:stretch>
      </xdr:blipFill>
      <xdr:spPr bwMode="auto">
        <a:xfrm>
          <a:off x="1609725" y="27051000"/>
          <a:ext cx="590550" cy="247650"/>
        </a:xfrm>
        <a:prstGeom prst="rect">
          <a:avLst/>
        </a:prstGeom>
        <a:noFill/>
        <a:ln w="1">
          <a:noFill/>
          <a:miter lim="800000"/>
          <a:headEnd/>
          <a:tailEnd/>
        </a:ln>
      </xdr:spPr>
    </xdr:pic>
    <xdr:clientData/>
  </xdr:twoCellAnchor>
  <xdr:twoCellAnchor>
    <xdr:from>
      <xdr:col>2</xdr:col>
      <xdr:colOff>0</xdr:colOff>
      <xdr:row>71</xdr:row>
      <xdr:rowOff>0</xdr:rowOff>
    </xdr:from>
    <xdr:to>
      <xdr:col>2</xdr:col>
      <xdr:colOff>504825</xdr:colOff>
      <xdr:row>71</xdr:row>
      <xdr:rowOff>209550</xdr:rowOff>
    </xdr:to>
    <xdr:pic>
      <xdr:nvPicPr>
        <xdr:cNvPr id="53" name="Picture 57"/>
        <xdr:cNvPicPr>
          <a:picLocks noChangeAspect="1" noChangeArrowheads="1"/>
        </xdr:cNvPicPr>
      </xdr:nvPicPr>
      <xdr:blipFill>
        <a:blip xmlns:r="http://schemas.openxmlformats.org/officeDocument/2006/relationships" r:embed="rId47" cstate="print"/>
        <a:srcRect/>
        <a:stretch>
          <a:fillRect/>
        </a:stretch>
      </xdr:blipFill>
      <xdr:spPr bwMode="auto">
        <a:xfrm>
          <a:off x="1609725" y="27432000"/>
          <a:ext cx="504825" cy="209550"/>
        </a:xfrm>
        <a:prstGeom prst="rect">
          <a:avLst/>
        </a:prstGeom>
        <a:noFill/>
        <a:ln w="9525">
          <a:noFill/>
          <a:miter lim="800000"/>
          <a:headEnd/>
          <a:tailEnd/>
        </a:ln>
      </xdr:spPr>
    </xdr:pic>
    <xdr:clientData/>
  </xdr:twoCellAnchor>
  <xdr:twoCellAnchor>
    <xdr:from>
      <xdr:col>2</xdr:col>
      <xdr:colOff>0</xdr:colOff>
      <xdr:row>72</xdr:row>
      <xdr:rowOff>0</xdr:rowOff>
    </xdr:from>
    <xdr:to>
      <xdr:col>2</xdr:col>
      <xdr:colOff>371475</xdr:colOff>
      <xdr:row>72</xdr:row>
      <xdr:rowOff>200025</xdr:rowOff>
    </xdr:to>
    <xdr:pic>
      <xdr:nvPicPr>
        <xdr:cNvPr id="54" name="Picture 58"/>
        <xdr:cNvPicPr>
          <a:picLocks noChangeAspect="1" noChangeArrowheads="1"/>
        </xdr:cNvPicPr>
      </xdr:nvPicPr>
      <xdr:blipFill>
        <a:blip xmlns:r="http://schemas.openxmlformats.org/officeDocument/2006/relationships" r:embed="rId48" cstate="print"/>
        <a:srcRect/>
        <a:stretch>
          <a:fillRect/>
        </a:stretch>
      </xdr:blipFill>
      <xdr:spPr bwMode="auto">
        <a:xfrm>
          <a:off x="1609725" y="27813000"/>
          <a:ext cx="371475" cy="200025"/>
        </a:xfrm>
        <a:prstGeom prst="rect">
          <a:avLst/>
        </a:prstGeom>
        <a:noFill/>
        <a:ln w="9525">
          <a:noFill/>
          <a:miter lim="800000"/>
          <a:headEnd/>
          <a:tailEnd/>
        </a:ln>
      </xdr:spPr>
    </xdr:pic>
    <xdr:clientData/>
  </xdr:twoCellAnchor>
  <xdr:twoCellAnchor>
    <xdr:from>
      <xdr:col>2</xdr:col>
      <xdr:colOff>0</xdr:colOff>
      <xdr:row>73</xdr:row>
      <xdr:rowOff>0</xdr:rowOff>
    </xdr:from>
    <xdr:to>
      <xdr:col>2</xdr:col>
      <xdr:colOff>371475</xdr:colOff>
      <xdr:row>73</xdr:row>
      <xdr:rowOff>276225</xdr:rowOff>
    </xdr:to>
    <xdr:pic>
      <xdr:nvPicPr>
        <xdr:cNvPr id="55" name="Picture 59"/>
        <xdr:cNvPicPr>
          <a:picLocks noChangeAspect="1" noChangeArrowheads="1"/>
        </xdr:cNvPicPr>
      </xdr:nvPicPr>
      <xdr:blipFill>
        <a:blip xmlns:r="http://schemas.openxmlformats.org/officeDocument/2006/relationships" r:embed="rId49" cstate="print"/>
        <a:srcRect/>
        <a:stretch>
          <a:fillRect/>
        </a:stretch>
      </xdr:blipFill>
      <xdr:spPr bwMode="auto">
        <a:xfrm>
          <a:off x="1609725" y="28194000"/>
          <a:ext cx="371475" cy="276225"/>
        </a:xfrm>
        <a:prstGeom prst="rect">
          <a:avLst/>
        </a:prstGeom>
        <a:noFill/>
        <a:ln w="9525">
          <a:noFill/>
          <a:miter lim="800000"/>
          <a:headEnd/>
          <a:tailEnd/>
        </a:ln>
      </xdr:spPr>
    </xdr:pic>
    <xdr:clientData/>
  </xdr:twoCellAnchor>
  <xdr:twoCellAnchor>
    <xdr:from>
      <xdr:col>2</xdr:col>
      <xdr:colOff>0</xdr:colOff>
      <xdr:row>74</xdr:row>
      <xdr:rowOff>0</xdr:rowOff>
    </xdr:from>
    <xdr:to>
      <xdr:col>2</xdr:col>
      <xdr:colOff>447675</xdr:colOff>
      <xdr:row>74</xdr:row>
      <xdr:rowOff>285750</xdr:rowOff>
    </xdr:to>
    <xdr:pic>
      <xdr:nvPicPr>
        <xdr:cNvPr id="56" name="Picture 60"/>
        <xdr:cNvPicPr>
          <a:picLocks noChangeAspect="1" noChangeArrowheads="1"/>
        </xdr:cNvPicPr>
      </xdr:nvPicPr>
      <xdr:blipFill>
        <a:blip xmlns:r="http://schemas.openxmlformats.org/officeDocument/2006/relationships" r:embed="rId50" cstate="print"/>
        <a:srcRect/>
        <a:stretch>
          <a:fillRect/>
        </a:stretch>
      </xdr:blipFill>
      <xdr:spPr bwMode="auto">
        <a:xfrm>
          <a:off x="1609725" y="28575000"/>
          <a:ext cx="447675" cy="285750"/>
        </a:xfrm>
        <a:prstGeom prst="rect">
          <a:avLst/>
        </a:prstGeom>
        <a:noFill/>
        <a:ln w="9525">
          <a:noFill/>
          <a:miter lim="800000"/>
          <a:headEnd/>
          <a:tailEnd/>
        </a:ln>
      </xdr:spPr>
    </xdr:pic>
    <xdr:clientData/>
  </xdr:twoCellAnchor>
  <xdr:twoCellAnchor>
    <xdr:from>
      <xdr:col>2</xdr:col>
      <xdr:colOff>0</xdr:colOff>
      <xdr:row>75</xdr:row>
      <xdr:rowOff>0</xdr:rowOff>
    </xdr:from>
    <xdr:to>
      <xdr:col>2</xdr:col>
      <xdr:colOff>390525</xdr:colOff>
      <xdr:row>75</xdr:row>
      <xdr:rowOff>276225</xdr:rowOff>
    </xdr:to>
    <xdr:pic>
      <xdr:nvPicPr>
        <xdr:cNvPr id="57" name="Picture 61"/>
        <xdr:cNvPicPr>
          <a:picLocks noChangeAspect="1" noChangeArrowheads="1"/>
        </xdr:cNvPicPr>
      </xdr:nvPicPr>
      <xdr:blipFill>
        <a:blip xmlns:r="http://schemas.openxmlformats.org/officeDocument/2006/relationships" r:embed="rId51" cstate="print"/>
        <a:srcRect/>
        <a:stretch>
          <a:fillRect/>
        </a:stretch>
      </xdr:blipFill>
      <xdr:spPr bwMode="auto">
        <a:xfrm>
          <a:off x="1609725" y="28956000"/>
          <a:ext cx="390525" cy="276225"/>
        </a:xfrm>
        <a:prstGeom prst="rect">
          <a:avLst/>
        </a:prstGeom>
        <a:noFill/>
        <a:ln w="9525">
          <a:noFill/>
          <a:miter lim="800000"/>
          <a:headEnd/>
          <a:tailEnd/>
        </a:ln>
      </xdr:spPr>
    </xdr:pic>
    <xdr:clientData/>
  </xdr:twoCellAnchor>
  <xdr:twoCellAnchor>
    <xdr:from>
      <xdr:col>2</xdr:col>
      <xdr:colOff>152400</xdr:colOff>
      <xdr:row>78</xdr:row>
      <xdr:rowOff>66675</xdr:rowOff>
    </xdr:from>
    <xdr:to>
      <xdr:col>2</xdr:col>
      <xdr:colOff>419100</xdr:colOff>
      <xdr:row>78</xdr:row>
      <xdr:rowOff>333375</xdr:rowOff>
    </xdr:to>
    <xdr:pic>
      <xdr:nvPicPr>
        <xdr:cNvPr id="58" name="Picture 63"/>
        <xdr:cNvPicPr>
          <a:picLocks noChangeAspect="1" noChangeArrowheads="1"/>
        </xdr:cNvPicPr>
      </xdr:nvPicPr>
      <xdr:blipFill>
        <a:blip xmlns:r="http://schemas.openxmlformats.org/officeDocument/2006/relationships" r:embed="rId52" cstate="print"/>
        <a:srcRect/>
        <a:stretch>
          <a:fillRect/>
        </a:stretch>
      </xdr:blipFill>
      <xdr:spPr bwMode="auto">
        <a:xfrm>
          <a:off x="1762125" y="30165675"/>
          <a:ext cx="266700" cy="266700"/>
        </a:xfrm>
        <a:prstGeom prst="rect">
          <a:avLst/>
        </a:prstGeom>
        <a:noFill/>
        <a:ln w="9525">
          <a:noFill/>
          <a:miter lim="800000"/>
          <a:headEnd/>
          <a:tailEnd/>
        </a:ln>
      </xdr:spPr>
    </xdr:pic>
    <xdr:clientData/>
  </xdr:twoCellAnchor>
  <xdr:twoCellAnchor>
    <xdr:from>
      <xdr:col>2</xdr:col>
      <xdr:colOff>104775</xdr:colOff>
      <xdr:row>79</xdr:row>
      <xdr:rowOff>19050</xdr:rowOff>
    </xdr:from>
    <xdr:to>
      <xdr:col>2</xdr:col>
      <xdr:colOff>495300</xdr:colOff>
      <xdr:row>80</xdr:row>
      <xdr:rowOff>9525</xdr:rowOff>
    </xdr:to>
    <xdr:pic>
      <xdr:nvPicPr>
        <xdr:cNvPr id="59" name="Picture 64" descr="C:\Users\chenbaojun1\Desktop\捕获.PNG"/>
        <xdr:cNvPicPr>
          <a:picLocks noChangeAspect="1" noChangeArrowheads="1"/>
        </xdr:cNvPicPr>
      </xdr:nvPicPr>
      <xdr:blipFill>
        <a:blip xmlns:r="http://schemas.openxmlformats.org/officeDocument/2006/relationships" r:embed="rId53" cstate="print"/>
        <a:srcRect r="76868"/>
        <a:stretch>
          <a:fillRect/>
        </a:stretch>
      </xdr:blipFill>
      <xdr:spPr bwMode="auto">
        <a:xfrm>
          <a:off x="1714500" y="30499050"/>
          <a:ext cx="390525" cy="371475"/>
        </a:xfrm>
        <a:prstGeom prst="rect">
          <a:avLst/>
        </a:prstGeom>
        <a:noFill/>
        <a:ln w="9525">
          <a:noFill/>
          <a:miter lim="800000"/>
          <a:headEnd/>
          <a:tailEnd/>
        </a:ln>
      </xdr:spPr>
    </xdr:pic>
    <xdr:clientData/>
  </xdr:twoCellAnchor>
  <xdr:twoCellAnchor>
    <xdr:from>
      <xdr:col>2</xdr:col>
      <xdr:colOff>133350</xdr:colOff>
      <xdr:row>43</xdr:row>
      <xdr:rowOff>38100</xdr:rowOff>
    </xdr:from>
    <xdr:to>
      <xdr:col>2</xdr:col>
      <xdr:colOff>419100</xdr:colOff>
      <xdr:row>43</xdr:row>
      <xdr:rowOff>304800</xdr:rowOff>
    </xdr:to>
    <xdr:pic>
      <xdr:nvPicPr>
        <xdr:cNvPr id="60" name="Picture 13"/>
        <xdr:cNvPicPr>
          <a:picLocks noChangeAspect="1" noChangeArrowheads="1"/>
        </xdr:cNvPicPr>
      </xdr:nvPicPr>
      <xdr:blipFill>
        <a:blip xmlns:r="http://schemas.openxmlformats.org/officeDocument/2006/relationships" r:embed="rId11" cstate="print"/>
        <a:srcRect/>
        <a:stretch>
          <a:fillRect/>
        </a:stretch>
      </xdr:blipFill>
      <xdr:spPr bwMode="auto">
        <a:xfrm>
          <a:off x="1743075" y="16802100"/>
          <a:ext cx="285750" cy="266700"/>
        </a:xfrm>
        <a:prstGeom prst="rect">
          <a:avLst/>
        </a:prstGeom>
        <a:noFill/>
        <a:ln w="9525">
          <a:noFill/>
          <a:miter lim="800000"/>
          <a:headEnd/>
          <a:tailEnd/>
        </a:ln>
      </xdr:spPr>
    </xdr:pic>
    <xdr:clientData/>
  </xdr:twoCellAnchor>
  <xdr:twoCellAnchor>
    <xdr:from>
      <xdr:col>2</xdr:col>
      <xdr:colOff>0</xdr:colOff>
      <xdr:row>76</xdr:row>
      <xdr:rowOff>0</xdr:rowOff>
    </xdr:from>
    <xdr:to>
      <xdr:col>2</xdr:col>
      <xdr:colOff>276225</xdr:colOff>
      <xdr:row>76</xdr:row>
      <xdr:rowOff>247650</xdr:rowOff>
    </xdr:to>
    <xdr:pic>
      <xdr:nvPicPr>
        <xdr:cNvPr id="61" name="Picture 62"/>
        <xdr:cNvPicPr>
          <a:picLocks noChangeAspect="1" noChangeArrowheads="1"/>
        </xdr:cNvPicPr>
      </xdr:nvPicPr>
      <xdr:blipFill>
        <a:blip xmlns:r="http://schemas.openxmlformats.org/officeDocument/2006/relationships" r:embed="rId54" cstate="print"/>
        <a:srcRect/>
        <a:stretch>
          <a:fillRect/>
        </a:stretch>
      </xdr:blipFill>
      <xdr:spPr bwMode="auto">
        <a:xfrm>
          <a:off x="1609725" y="29337000"/>
          <a:ext cx="276225" cy="247650"/>
        </a:xfrm>
        <a:prstGeom prst="rect">
          <a:avLst/>
        </a:prstGeom>
        <a:noFill/>
        <a:ln w="9525">
          <a:noFill/>
          <a:miter lim="800000"/>
          <a:headEnd/>
          <a:tailEnd/>
        </a:ln>
      </xdr:spPr>
    </xdr:pic>
    <xdr:clientData/>
  </xdr:twoCellAnchor>
  <xdr:twoCellAnchor editAs="oneCell">
    <xdr:from>
      <xdr:col>2</xdr:col>
      <xdr:colOff>47625</xdr:colOff>
      <xdr:row>57</xdr:row>
      <xdr:rowOff>38100</xdr:rowOff>
    </xdr:from>
    <xdr:to>
      <xdr:col>2</xdr:col>
      <xdr:colOff>361950</xdr:colOff>
      <xdr:row>57</xdr:row>
      <xdr:rowOff>361950</xdr:rowOff>
    </xdr:to>
    <xdr:pic>
      <xdr:nvPicPr>
        <xdr:cNvPr id="62" name="Picture 64"/>
        <xdr:cNvPicPr>
          <a:picLocks noChangeAspect="1" noChangeArrowheads="1"/>
        </xdr:cNvPicPr>
      </xdr:nvPicPr>
      <xdr:blipFill>
        <a:blip xmlns:r="http://schemas.openxmlformats.org/officeDocument/2006/relationships" r:embed="rId55" cstate="print"/>
        <a:srcRect/>
        <a:stretch>
          <a:fillRect/>
        </a:stretch>
      </xdr:blipFill>
      <xdr:spPr bwMode="auto">
        <a:xfrm>
          <a:off x="1657350" y="22136100"/>
          <a:ext cx="314325" cy="323850"/>
        </a:xfrm>
        <a:prstGeom prst="rect">
          <a:avLst/>
        </a:prstGeom>
        <a:noFill/>
        <a:ln w="9525">
          <a:noFill/>
          <a:miter lim="800000"/>
          <a:headEnd/>
          <a:tailEnd/>
        </a:ln>
      </xdr:spPr>
    </xdr:pic>
    <xdr:clientData/>
  </xdr:twoCellAnchor>
  <xdr:twoCellAnchor editAs="oneCell">
    <xdr:from>
      <xdr:col>2</xdr:col>
      <xdr:colOff>47625</xdr:colOff>
      <xdr:row>59</xdr:row>
      <xdr:rowOff>28575</xdr:rowOff>
    </xdr:from>
    <xdr:to>
      <xdr:col>2</xdr:col>
      <xdr:colOff>371475</xdr:colOff>
      <xdr:row>59</xdr:row>
      <xdr:rowOff>333375</xdr:rowOff>
    </xdr:to>
    <xdr:pic>
      <xdr:nvPicPr>
        <xdr:cNvPr id="63" name="Picture 65"/>
        <xdr:cNvPicPr>
          <a:picLocks noChangeAspect="1" noChangeArrowheads="1"/>
        </xdr:cNvPicPr>
      </xdr:nvPicPr>
      <xdr:blipFill>
        <a:blip xmlns:r="http://schemas.openxmlformats.org/officeDocument/2006/relationships" r:embed="rId56" cstate="print"/>
        <a:srcRect/>
        <a:stretch>
          <a:fillRect/>
        </a:stretch>
      </xdr:blipFill>
      <xdr:spPr bwMode="auto">
        <a:xfrm>
          <a:off x="1657350" y="22888575"/>
          <a:ext cx="323850" cy="304800"/>
        </a:xfrm>
        <a:prstGeom prst="rect">
          <a:avLst/>
        </a:prstGeom>
        <a:noFill/>
        <a:ln w="9525">
          <a:noFill/>
          <a:miter lim="800000"/>
          <a:headEnd/>
          <a:tailEnd/>
        </a:ln>
      </xdr:spPr>
    </xdr:pic>
    <xdr:clientData/>
  </xdr:twoCellAnchor>
  <xdr:twoCellAnchor editAs="oneCell">
    <xdr:from>
      <xdr:col>2</xdr:col>
      <xdr:colOff>114300</xdr:colOff>
      <xdr:row>46</xdr:row>
      <xdr:rowOff>47625</xdr:rowOff>
    </xdr:from>
    <xdr:to>
      <xdr:col>2</xdr:col>
      <xdr:colOff>419100</xdr:colOff>
      <xdr:row>46</xdr:row>
      <xdr:rowOff>352425</xdr:rowOff>
    </xdr:to>
    <xdr:pic>
      <xdr:nvPicPr>
        <xdr:cNvPr id="64" name="Picture 66"/>
        <xdr:cNvPicPr>
          <a:picLocks noChangeAspect="1" noChangeArrowheads="1"/>
        </xdr:cNvPicPr>
      </xdr:nvPicPr>
      <xdr:blipFill>
        <a:blip xmlns:r="http://schemas.openxmlformats.org/officeDocument/2006/relationships" r:embed="rId57" cstate="print">
          <a:grayscl/>
        </a:blip>
        <a:srcRect/>
        <a:stretch>
          <a:fillRect/>
        </a:stretch>
      </xdr:blipFill>
      <xdr:spPr bwMode="auto">
        <a:xfrm>
          <a:off x="1724025" y="17954625"/>
          <a:ext cx="304800" cy="30480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22860</xdr:colOff>
      <xdr:row>0</xdr:row>
      <xdr:rowOff>38100</xdr:rowOff>
    </xdr:from>
    <xdr:to>
      <xdr:col>5</xdr:col>
      <xdr:colOff>320040</xdr:colOff>
      <xdr:row>2</xdr:row>
      <xdr:rowOff>0</xdr:rowOff>
    </xdr:to>
    <xdr:sp macro="" textlink="">
      <xdr:nvSpPr>
        <xdr:cNvPr id="2" name="TextBox 1"/>
        <xdr:cNvSpPr txBox="1"/>
      </xdr:nvSpPr>
      <xdr:spPr>
        <a:xfrm>
          <a:off x="4792980" y="38100"/>
          <a:ext cx="3352800" cy="312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Only Cells with White Background need</a:t>
          </a:r>
          <a:r>
            <a:rPr lang="en-US" sz="1100" baseline="0">
              <a:solidFill>
                <a:srgbClr val="FF0000"/>
              </a:solidFill>
            </a:rPr>
            <a:t> to be modified!</a:t>
          </a:r>
          <a:endParaRPr lang="en-US" sz="1100">
            <a:solidFill>
              <a:srgbClr val="FF0000"/>
            </a:solidFill>
          </a:endParaRPr>
        </a:p>
      </xdr:txBody>
    </xdr:sp>
    <xdr:clientData/>
  </xdr:twoCellAnchor>
  <xdr:twoCellAnchor>
    <xdr:from>
      <xdr:col>3</xdr:col>
      <xdr:colOff>22860</xdr:colOff>
      <xdr:row>0</xdr:row>
      <xdr:rowOff>38100</xdr:rowOff>
    </xdr:from>
    <xdr:to>
      <xdr:col>5</xdr:col>
      <xdr:colOff>320040</xdr:colOff>
      <xdr:row>2</xdr:row>
      <xdr:rowOff>0</xdr:rowOff>
    </xdr:to>
    <xdr:sp macro="" textlink="">
      <xdr:nvSpPr>
        <xdr:cNvPr id="3" name="TextBox 2"/>
        <xdr:cNvSpPr txBox="1"/>
      </xdr:nvSpPr>
      <xdr:spPr>
        <a:xfrm>
          <a:off x="5156835" y="38100"/>
          <a:ext cx="3507105" cy="34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rgbClr val="FF0000"/>
              </a:solidFill>
            </a:rPr>
            <a:t>Only Cells with White Background need</a:t>
          </a:r>
          <a:r>
            <a:rPr lang="en-US" sz="1100" baseline="0">
              <a:solidFill>
                <a:srgbClr val="FF0000"/>
              </a:solidFill>
            </a:rPr>
            <a:t> to be modified!</a:t>
          </a:r>
          <a:endParaRPr lang="en-US" sz="11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Geely/target/pkg/application/pkg/wrn/tool/WRNGen/adapt/WRNGen.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idp8103/Desktop/Geely_FE6_WarningConfiguration_xsx.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XSX/Projects/FE_6_HL/sw.sys.ge_7inch_platform_ic/pkg/application/pkg/wrn/tool/wrngen/adapt/WRNGen.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_ironspread_data_"/>
      <sheetName val="FE_6"/>
      <sheetName val="FE_9"/>
      <sheetName val="FE_CV"/>
      <sheetName val="FE_SV"/>
      <sheetName val="KC2"/>
      <sheetName val="Configure"/>
      <sheetName val="__data__"/>
    </sheetNames>
    <sheetDataSet>
      <sheetData sheetId="0" refreshError="1"/>
      <sheetData sheetId="1"/>
      <sheetData sheetId="2" refreshError="1"/>
      <sheetData sheetId="3" refreshError="1"/>
      <sheetData sheetId="4" refreshError="1"/>
      <sheetData sheetId="5" refreshError="1"/>
      <sheetData sheetId="6">
        <row r="4">
          <cell r="B4">
            <v>25</v>
          </cell>
        </row>
        <row r="5">
          <cell r="B5">
            <v>25</v>
          </cell>
        </row>
      </sheetData>
      <sheetData sheetId="7">
        <row r="1">
          <cell r="A1" t="str">
            <v>True</v>
          </cell>
          <cell r="B1" t="str">
            <v>On</v>
          </cell>
          <cell r="C1" t="str">
            <v>LED</v>
          </cell>
          <cell r="D1" t="str">
            <v>FE_6</v>
          </cell>
          <cell r="E1" t="str">
            <v>True</v>
          </cell>
          <cell r="F1">
            <v>1</v>
          </cell>
          <cell r="G1" t="str">
            <v>Red</v>
          </cell>
          <cell r="H1" t="str">
            <v>Enable</v>
          </cell>
        </row>
        <row r="2">
          <cell r="A2" t="str">
            <v>False</v>
          </cell>
          <cell r="B2" t="str">
            <v>Off</v>
          </cell>
          <cell r="C2" t="str">
            <v>LCD</v>
          </cell>
          <cell r="D2" t="str">
            <v>FE_9</v>
          </cell>
          <cell r="E2" t="str">
            <v>False</v>
          </cell>
          <cell r="F2">
            <v>25</v>
          </cell>
          <cell r="G2" t="str">
            <v>Green</v>
          </cell>
          <cell r="H2" t="str">
            <v>Disable</v>
          </cell>
        </row>
        <row r="3">
          <cell r="B3" t="str">
            <v>Depend</v>
          </cell>
          <cell r="C3" t="str">
            <v>Sound</v>
          </cell>
          <cell r="D3" t="str">
            <v>FE_CV</v>
          </cell>
          <cell r="E3" t="str">
            <v>Macro</v>
          </cell>
          <cell r="F3">
            <v>10</v>
          </cell>
          <cell r="G3" t="str">
            <v>Yellow</v>
          </cell>
        </row>
        <row r="4">
          <cell r="D4" t="str">
            <v>FE_SV</v>
          </cell>
          <cell r="F4">
            <v>100</v>
          </cell>
          <cell r="G4" t="str">
            <v>Blue</v>
          </cell>
        </row>
        <row r="5">
          <cell r="D5" t="str">
            <v>KC_2</v>
          </cell>
          <cell r="F5">
            <v>1000</v>
          </cell>
          <cell r="G5" t="str">
            <v>White</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istory."/>
      <sheetName val="FileGeneration"/>
      <sheetName val="AppWarningConfig"/>
      <sheetName val="HMIWarningConfig"/>
      <sheetName val="WarningHelper"/>
      <sheetName val="Sheet2"/>
      <sheetName val="UEInput"/>
      <sheetName val="TextGenerator"/>
      <sheetName val="__data__"/>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True</v>
          </cell>
          <cell r="B1" t="str">
            <v>On</v>
          </cell>
          <cell r="C1" t="str">
            <v>LED</v>
          </cell>
          <cell r="E1" t="str">
            <v>True</v>
          </cell>
          <cell r="F1">
            <v>1</v>
          </cell>
          <cell r="G1" t="str">
            <v>Red</v>
          </cell>
          <cell r="H1" t="str">
            <v>Enable</v>
          </cell>
        </row>
        <row r="2">
          <cell r="A2" t="str">
            <v>False</v>
          </cell>
          <cell r="B2" t="str">
            <v>Off</v>
          </cell>
          <cell r="C2" t="str">
            <v>LCD</v>
          </cell>
          <cell r="E2" t="str">
            <v>False</v>
          </cell>
          <cell r="F2">
            <v>25</v>
          </cell>
          <cell r="G2" t="str">
            <v>Green</v>
          </cell>
          <cell r="H2" t="str">
            <v>Disable</v>
          </cell>
          <cell r="M2" t="str">
            <v>A</v>
          </cell>
        </row>
        <row r="3">
          <cell r="B3" t="str">
            <v>Depend</v>
          </cell>
          <cell r="C3" t="str">
            <v>Sound</v>
          </cell>
          <cell r="E3" t="str">
            <v>Macro</v>
          </cell>
          <cell r="F3">
            <v>10</v>
          </cell>
          <cell r="G3" t="str">
            <v>Yellow</v>
          </cell>
          <cell r="M3" t="str">
            <v>B</v>
          </cell>
        </row>
        <row r="4">
          <cell r="F4">
            <v>100</v>
          </cell>
          <cell r="G4" t="str">
            <v>Blue</v>
          </cell>
          <cell r="M4" t="str">
            <v>C</v>
          </cell>
        </row>
        <row r="5">
          <cell r="F5">
            <v>1000</v>
          </cell>
          <cell r="G5" t="str">
            <v>Grey</v>
          </cell>
          <cell r="M5" t="str">
            <v>TT</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_ironspread_data_"/>
      <sheetName val="FE_6"/>
      <sheetName val="FE_9"/>
      <sheetName val="FE_CV"/>
      <sheetName val="FE_SV"/>
      <sheetName val="KC2"/>
      <sheetName val="Configure"/>
      <sheetName val="__data__"/>
    </sheetNames>
    <sheetDataSet>
      <sheetData sheetId="0"/>
      <sheetData sheetId="1"/>
      <sheetData sheetId="2"/>
      <sheetData sheetId="3"/>
      <sheetData sheetId="4"/>
      <sheetData sheetId="5"/>
      <sheetData sheetId="6">
        <row r="4">
          <cell r="B4">
            <v>25</v>
          </cell>
        </row>
      </sheetData>
      <sheetData sheetId="7">
        <row r="1">
          <cell r="A1" t="str">
            <v>True</v>
          </cell>
          <cell r="D1" t="str">
            <v>FE_6</v>
          </cell>
          <cell r="F1">
            <v>1</v>
          </cell>
        </row>
        <row r="2">
          <cell r="D2" t="str">
            <v>FE_9</v>
          </cell>
          <cell r="F2">
            <v>25</v>
          </cell>
        </row>
        <row r="3">
          <cell r="D3" t="str">
            <v>FE_CV</v>
          </cell>
          <cell r="F3">
            <v>10</v>
          </cell>
        </row>
        <row r="4">
          <cell r="D4" t="str">
            <v>FE_SV</v>
          </cell>
          <cell r="F4">
            <v>100</v>
          </cell>
        </row>
        <row r="5">
          <cell r="D5" t="str">
            <v>KC_2</v>
          </cell>
          <cell r="F5">
            <v>1000</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3.bin"/><Relationship Id="rId5" Type="http://schemas.openxmlformats.org/officeDocument/2006/relationships/oleObject" Target="../embeddings/oleObject2.bin"/><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dimension ref="A1:P1232"/>
  <sheetViews>
    <sheetView workbookViewId="0">
      <pane xSplit="5" ySplit="1" topLeftCell="F111" activePane="bottomRight" state="frozen"/>
      <selection pane="topRight" activeCell="F1" sqref="F1"/>
      <selection pane="bottomLeft" activeCell="A2" sqref="A2"/>
      <selection pane="bottomRight" activeCell="E132" sqref="E132"/>
    </sheetView>
  </sheetViews>
  <sheetFormatPr defaultRowHeight="30" customHeight="1"/>
  <cols>
    <col min="1" max="1" width="7.5" style="99" customWidth="1"/>
    <col min="2" max="2" width="13.625" style="100" customWidth="1"/>
    <col min="3" max="4" width="7.5" style="100" customWidth="1"/>
    <col min="5" max="5" width="19.75" style="99" customWidth="1"/>
    <col min="6" max="6" width="9.5" style="99" customWidth="1"/>
    <col min="7" max="7" width="8.25" style="99" customWidth="1"/>
    <col min="8" max="8" width="10.375" style="99" customWidth="1"/>
    <col min="9" max="9" width="8.5" style="99" customWidth="1"/>
    <col min="10" max="10" width="8.125" style="99" customWidth="1"/>
    <col min="11" max="11" width="11.625" style="99" customWidth="1"/>
    <col min="12" max="12" width="15" style="99" customWidth="1"/>
    <col min="13" max="13" width="12.375" style="99" customWidth="1"/>
    <col min="14" max="14" width="32.25" style="99" customWidth="1"/>
    <col min="15" max="15" width="50" style="99" customWidth="1"/>
    <col min="16" max="16" width="10.875" style="62" customWidth="1"/>
    <col min="17" max="256" width="9" style="62"/>
    <col min="257" max="257" width="7.5" style="62" customWidth="1"/>
    <col min="258" max="258" width="13.625" style="62" customWidth="1"/>
    <col min="259" max="260" width="7.5" style="62" customWidth="1"/>
    <col min="261" max="261" width="19.75" style="62" customWidth="1"/>
    <col min="262" max="262" width="9.5" style="62" customWidth="1"/>
    <col min="263" max="263" width="8.25" style="62" customWidth="1"/>
    <col min="264" max="264" width="10.375" style="62" customWidth="1"/>
    <col min="265" max="265" width="8.5" style="62" customWidth="1"/>
    <col min="266" max="266" width="8.125" style="62" customWidth="1"/>
    <col min="267" max="267" width="11.625" style="62" customWidth="1"/>
    <col min="268" max="268" width="15" style="62" customWidth="1"/>
    <col min="269" max="269" width="12.375" style="62" customWidth="1"/>
    <col min="270" max="270" width="32.25" style="62" customWidth="1"/>
    <col min="271" max="271" width="50" style="62" customWidth="1"/>
    <col min="272" max="272" width="10.875" style="62" customWidth="1"/>
    <col min="273" max="512" width="9" style="62"/>
    <col min="513" max="513" width="7.5" style="62" customWidth="1"/>
    <col min="514" max="514" width="13.625" style="62" customWidth="1"/>
    <col min="515" max="516" width="7.5" style="62" customWidth="1"/>
    <col min="517" max="517" width="19.75" style="62" customWidth="1"/>
    <col min="518" max="518" width="9.5" style="62" customWidth="1"/>
    <col min="519" max="519" width="8.25" style="62" customWidth="1"/>
    <col min="520" max="520" width="10.375" style="62" customWidth="1"/>
    <col min="521" max="521" width="8.5" style="62" customWidth="1"/>
    <col min="522" max="522" width="8.125" style="62" customWidth="1"/>
    <col min="523" max="523" width="11.625" style="62" customWidth="1"/>
    <col min="524" max="524" width="15" style="62" customWidth="1"/>
    <col min="525" max="525" width="12.375" style="62" customWidth="1"/>
    <col min="526" max="526" width="32.25" style="62" customWidth="1"/>
    <col min="527" max="527" width="50" style="62" customWidth="1"/>
    <col min="528" max="528" width="10.875" style="62" customWidth="1"/>
    <col min="529" max="768" width="9" style="62"/>
    <col min="769" max="769" width="7.5" style="62" customWidth="1"/>
    <col min="770" max="770" width="13.625" style="62" customWidth="1"/>
    <col min="771" max="772" width="7.5" style="62" customWidth="1"/>
    <col min="773" max="773" width="19.75" style="62" customWidth="1"/>
    <col min="774" max="774" width="9.5" style="62" customWidth="1"/>
    <col min="775" max="775" width="8.25" style="62" customWidth="1"/>
    <col min="776" max="776" width="10.375" style="62" customWidth="1"/>
    <col min="777" max="777" width="8.5" style="62" customWidth="1"/>
    <col min="778" max="778" width="8.125" style="62" customWidth="1"/>
    <col min="779" max="779" width="11.625" style="62" customWidth="1"/>
    <col min="780" max="780" width="15" style="62" customWidth="1"/>
    <col min="781" max="781" width="12.375" style="62" customWidth="1"/>
    <col min="782" max="782" width="32.25" style="62" customWidth="1"/>
    <col min="783" max="783" width="50" style="62" customWidth="1"/>
    <col min="784" max="784" width="10.875" style="62" customWidth="1"/>
    <col min="785" max="1024" width="9" style="62"/>
    <col min="1025" max="1025" width="7.5" style="62" customWidth="1"/>
    <col min="1026" max="1026" width="13.625" style="62" customWidth="1"/>
    <col min="1027" max="1028" width="7.5" style="62" customWidth="1"/>
    <col min="1029" max="1029" width="19.75" style="62" customWidth="1"/>
    <col min="1030" max="1030" width="9.5" style="62" customWidth="1"/>
    <col min="1031" max="1031" width="8.25" style="62" customWidth="1"/>
    <col min="1032" max="1032" width="10.375" style="62" customWidth="1"/>
    <col min="1033" max="1033" width="8.5" style="62" customWidth="1"/>
    <col min="1034" max="1034" width="8.125" style="62" customWidth="1"/>
    <col min="1035" max="1035" width="11.625" style="62" customWidth="1"/>
    <col min="1036" max="1036" width="15" style="62" customWidth="1"/>
    <col min="1037" max="1037" width="12.375" style="62" customWidth="1"/>
    <col min="1038" max="1038" width="32.25" style="62" customWidth="1"/>
    <col min="1039" max="1039" width="50" style="62" customWidth="1"/>
    <col min="1040" max="1040" width="10.875" style="62" customWidth="1"/>
    <col min="1041" max="1280" width="9" style="62"/>
    <col min="1281" max="1281" width="7.5" style="62" customWidth="1"/>
    <col min="1282" max="1282" width="13.625" style="62" customWidth="1"/>
    <col min="1283" max="1284" width="7.5" style="62" customWidth="1"/>
    <col min="1285" max="1285" width="19.75" style="62" customWidth="1"/>
    <col min="1286" max="1286" width="9.5" style="62" customWidth="1"/>
    <col min="1287" max="1287" width="8.25" style="62" customWidth="1"/>
    <col min="1288" max="1288" width="10.375" style="62" customWidth="1"/>
    <col min="1289" max="1289" width="8.5" style="62" customWidth="1"/>
    <col min="1290" max="1290" width="8.125" style="62" customWidth="1"/>
    <col min="1291" max="1291" width="11.625" style="62" customWidth="1"/>
    <col min="1292" max="1292" width="15" style="62" customWidth="1"/>
    <col min="1293" max="1293" width="12.375" style="62" customWidth="1"/>
    <col min="1294" max="1294" width="32.25" style="62" customWidth="1"/>
    <col min="1295" max="1295" width="50" style="62" customWidth="1"/>
    <col min="1296" max="1296" width="10.875" style="62" customWidth="1"/>
    <col min="1297" max="1536" width="9" style="62"/>
    <col min="1537" max="1537" width="7.5" style="62" customWidth="1"/>
    <col min="1538" max="1538" width="13.625" style="62" customWidth="1"/>
    <col min="1539" max="1540" width="7.5" style="62" customWidth="1"/>
    <col min="1541" max="1541" width="19.75" style="62" customWidth="1"/>
    <col min="1542" max="1542" width="9.5" style="62" customWidth="1"/>
    <col min="1543" max="1543" width="8.25" style="62" customWidth="1"/>
    <col min="1544" max="1544" width="10.375" style="62" customWidth="1"/>
    <col min="1545" max="1545" width="8.5" style="62" customWidth="1"/>
    <col min="1546" max="1546" width="8.125" style="62" customWidth="1"/>
    <col min="1547" max="1547" width="11.625" style="62" customWidth="1"/>
    <col min="1548" max="1548" width="15" style="62" customWidth="1"/>
    <col min="1549" max="1549" width="12.375" style="62" customWidth="1"/>
    <col min="1550" max="1550" width="32.25" style="62" customWidth="1"/>
    <col min="1551" max="1551" width="50" style="62" customWidth="1"/>
    <col min="1552" max="1552" width="10.875" style="62" customWidth="1"/>
    <col min="1553" max="1792" width="9" style="62"/>
    <col min="1793" max="1793" width="7.5" style="62" customWidth="1"/>
    <col min="1794" max="1794" width="13.625" style="62" customWidth="1"/>
    <col min="1795" max="1796" width="7.5" style="62" customWidth="1"/>
    <col min="1797" max="1797" width="19.75" style="62" customWidth="1"/>
    <col min="1798" max="1798" width="9.5" style="62" customWidth="1"/>
    <col min="1799" max="1799" width="8.25" style="62" customWidth="1"/>
    <col min="1800" max="1800" width="10.375" style="62" customWidth="1"/>
    <col min="1801" max="1801" width="8.5" style="62" customWidth="1"/>
    <col min="1802" max="1802" width="8.125" style="62" customWidth="1"/>
    <col min="1803" max="1803" width="11.625" style="62" customWidth="1"/>
    <col min="1804" max="1804" width="15" style="62" customWidth="1"/>
    <col min="1805" max="1805" width="12.375" style="62" customWidth="1"/>
    <col min="1806" max="1806" width="32.25" style="62" customWidth="1"/>
    <col min="1807" max="1807" width="50" style="62" customWidth="1"/>
    <col min="1808" max="1808" width="10.875" style="62" customWidth="1"/>
    <col min="1809" max="2048" width="9" style="62"/>
    <col min="2049" max="2049" width="7.5" style="62" customWidth="1"/>
    <col min="2050" max="2050" width="13.625" style="62" customWidth="1"/>
    <col min="2051" max="2052" width="7.5" style="62" customWidth="1"/>
    <col min="2053" max="2053" width="19.75" style="62" customWidth="1"/>
    <col min="2054" max="2054" width="9.5" style="62" customWidth="1"/>
    <col min="2055" max="2055" width="8.25" style="62" customWidth="1"/>
    <col min="2056" max="2056" width="10.375" style="62" customWidth="1"/>
    <col min="2057" max="2057" width="8.5" style="62" customWidth="1"/>
    <col min="2058" max="2058" width="8.125" style="62" customWidth="1"/>
    <col min="2059" max="2059" width="11.625" style="62" customWidth="1"/>
    <col min="2060" max="2060" width="15" style="62" customWidth="1"/>
    <col min="2061" max="2061" width="12.375" style="62" customWidth="1"/>
    <col min="2062" max="2062" width="32.25" style="62" customWidth="1"/>
    <col min="2063" max="2063" width="50" style="62" customWidth="1"/>
    <col min="2064" max="2064" width="10.875" style="62" customWidth="1"/>
    <col min="2065" max="2304" width="9" style="62"/>
    <col min="2305" max="2305" width="7.5" style="62" customWidth="1"/>
    <col min="2306" max="2306" width="13.625" style="62" customWidth="1"/>
    <col min="2307" max="2308" width="7.5" style="62" customWidth="1"/>
    <col min="2309" max="2309" width="19.75" style="62" customWidth="1"/>
    <col min="2310" max="2310" width="9.5" style="62" customWidth="1"/>
    <col min="2311" max="2311" width="8.25" style="62" customWidth="1"/>
    <col min="2312" max="2312" width="10.375" style="62" customWidth="1"/>
    <col min="2313" max="2313" width="8.5" style="62" customWidth="1"/>
    <col min="2314" max="2314" width="8.125" style="62" customWidth="1"/>
    <col min="2315" max="2315" width="11.625" style="62" customWidth="1"/>
    <col min="2316" max="2316" width="15" style="62" customWidth="1"/>
    <col min="2317" max="2317" width="12.375" style="62" customWidth="1"/>
    <col min="2318" max="2318" width="32.25" style="62" customWidth="1"/>
    <col min="2319" max="2319" width="50" style="62" customWidth="1"/>
    <col min="2320" max="2320" width="10.875" style="62" customWidth="1"/>
    <col min="2321" max="2560" width="9" style="62"/>
    <col min="2561" max="2561" width="7.5" style="62" customWidth="1"/>
    <col min="2562" max="2562" width="13.625" style="62" customWidth="1"/>
    <col min="2563" max="2564" width="7.5" style="62" customWidth="1"/>
    <col min="2565" max="2565" width="19.75" style="62" customWidth="1"/>
    <col min="2566" max="2566" width="9.5" style="62" customWidth="1"/>
    <col min="2567" max="2567" width="8.25" style="62" customWidth="1"/>
    <col min="2568" max="2568" width="10.375" style="62" customWidth="1"/>
    <col min="2569" max="2569" width="8.5" style="62" customWidth="1"/>
    <col min="2570" max="2570" width="8.125" style="62" customWidth="1"/>
    <col min="2571" max="2571" width="11.625" style="62" customWidth="1"/>
    <col min="2572" max="2572" width="15" style="62" customWidth="1"/>
    <col min="2573" max="2573" width="12.375" style="62" customWidth="1"/>
    <col min="2574" max="2574" width="32.25" style="62" customWidth="1"/>
    <col min="2575" max="2575" width="50" style="62" customWidth="1"/>
    <col min="2576" max="2576" width="10.875" style="62" customWidth="1"/>
    <col min="2577" max="2816" width="9" style="62"/>
    <col min="2817" max="2817" width="7.5" style="62" customWidth="1"/>
    <col min="2818" max="2818" width="13.625" style="62" customWidth="1"/>
    <col min="2819" max="2820" width="7.5" style="62" customWidth="1"/>
    <col min="2821" max="2821" width="19.75" style="62" customWidth="1"/>
    <col min="2822" max="2822" width="9.5" style="62" customWidth="1"/>
    <col min="2823" max="2823" width="8.25" style="62" customWidth="1"/>
    <col min="2824" max="2824" width="10.375" style="62" customWidth="1"/>
    <col min="2825" max="2825" width="8.5" style="62" customWidth="1"/>
    <col min="2826" max="2826" width="8.125" style="62" customWidth="1"/>
    <col min="2827" max="2827" width="11.625" style="62" customWidth="1"/>
    <col min="2828" max="2828" width="15" style="62" customWidth="1"/>
    <col min="2829" max="2829" width="12.375" style="62" customWidth="1"/>
    <col min="2830" max="2830" width="32.25" style="62" customWidth="1"/>
    <col min="2831" max="2831" width="50" style="62" customWidth="1"/>
    <col min="2832" max="2832" width="10.875" style="62" customWidth="1"/>
    <col min="2833" max="3072" width="9" style="62"/>
    <col min="3073" max="3073" width="7.5" style="62" customWidth="1"/>
    <col min="3074" max="3074" width="13.625" style="62" customWidth="1"/>
    <col min="3075" max="3076" width="7.5" style="62" customWidth="1"/>
    <col min="3077" max="3077" width="19.75" style="62" customWidth="1"/>
    <col min="3078" max="3078" width="9.5" style="62" customWidth="1"/>
    <col min="3079" max="3079" width="8.25" style="62" customWidth="1"/>
    <col min="3080" max="3080" width="10.375" style="62" customWidth="1"/>
    <col min="3081" max="3081" width="8.5" style="62" customWidth="1"/>
    <col min="3082" max="3082" width="8.125" style="62" customWidth="1"/>
    <col min="3083" max="3083" width="11.625" style="62" customWidth="1"/>
    <col min="3084" max="3084" width="15" style="62" customWidth="1"/>
    <col min="3085" max="3085" width="12.375" style="62" customWidth="1"/>
    <col min="3086" max="3086" width="32.25" style="62" customWidth="1"/>
    <col min="3087" max="3087" width="50" style="62" customWidth="1"/>
    <col min="3088" max="3088" width="10.875" style="62" customWidth="1"/>
    <col min="3089" max="3328" width="9" style="62"/>
    <col min="3329" max="3329" width="7.5" style="62" customWidth="1"/>
    <col min="3330" max="3330" width="13.625" style="62" customWidth="1"/>
    <col min="3331" max="3332" width="7.5" style="62" customWidth="1"/>
    <col min="3333" max="3333" width="19.75" style="62" customWidth="1"/>
    <col min="3334" max="3334" width="9.5" style="62" customWidth="1"/>
    <col min="3335" max="3335" width="8.25" style="62" customWidth="1"/>
    <col min="3336" max="3336" width="10.375" style="62" customWidth="1"/>
    <col min="3337" max="3337" width="8.5" style="62" customWidth="1"/>
    <col min="3338" max="3338" width="8.125" style="62" customWidth="1"/>
    <col min="3339" max="3339" width="11.625" style="62" customWidth="1"/>
    <col min="3340" max="3340" width="15" style="62" customWidth="1"/>
    <col min="3341" max="3341" width="12.375" style="62" customWidth="1"/>
    <col min="3342" max="3342" width="32.25" style="62" customWidth="1"/>
    <col min="3343" max="3343" width="50" style="62" customWidth="1"/>
    <col min="3344" max="3344" width="10.875" style="62" customWidth="1"/>
    <col min="3345" max="3584" width="9" style="62"/>
    <col min="3585" max="3585" width="7.5" style="62" customWidth="1"/>
    <col min="3586" max="3586" width="13.625" style="62" customWidth="1"/>
    <col min="3587" max="3588" width="7.5" style="62" customWidth="1"/>
    <col min="3589" max="3589" width="19.75" style="62" customWidth="1"/>
    <col min="3590" max="3590" width="9.5" style="62" customWidth="1"/>
    <col min="3591" max="3591" width="8.25" style="62" customWidth="1"/>
    <col min="3592" max="3592" width="10.375" style="62" customWidth="1"/>
    <col min="3593" max="3593" width="8.5" style="62" customWidth="1"/>
    <col min="3594" max="3594" width="8.125" style="62" customWidth="1"/>
    <col min="3595" max="3595" width="11.625" style="62" customWidth="1"/>
    <col min="3596" max="3596" width="15" style="62" customWidth="1"/>
    <col min="3597" max="3597" width="12.375" style="62" customWidth="1"/>
    <col min="3598" max="3598" width="32.25" style="62" customWidth="1"/>
    <col min="3599" max="3599" width="50" style="62" customWidth="1"/>
    <col min="3600" max="3600" width="10.875" style="62" customWidth="1"/>
    <col min="3601" max="3840" width="9" style="62"/>
    <col min="3841" max="3841" width="7.5" style="62" customWidth="1"/>
    <col min="3842" max="3842" width="13.625" style="62" customWidth="1"/>
    <col min="3843" max="3844" width="7.5" style="62" customWidth="1"/>
    <col min="3845" max="3845" width="19.75" style="62" customWidth="1"/>
    <col min="3846" max="3846" width="9.5" style="62" customWidth="1"/>
    <col min="3847" max="3847" width="8.25" style="62" customWidth="1"/>
    <col min="3848" max="3848" width="10.375" style="62" customWidth="1"/>
    <col min="3849" max="3849" width="8.5" style="62" customWidth="1"/>
    <col min="3850" max="3850" width="8.125" style="62" customWidth="1"/>
    <col min="3851" max="3851" width="11.625" style="62" customWidth="1"/>
    <col min="3852" max="3852" width="15" style="62" customWidth="1"/>
    <col min="3853" max="3853" width="12.375" style="62" customWidth="1"/>
    <col min="3854" max="3854" width="32.25" style="62" customWidth="1"/>
    <col min="3855" max="3855" width="50" style="62" customWidth="1"/>
    <col min="3856" max="3856" width="10.875" style="62" customWidth="1"/>
    <col min="3857" max="4096" width="9" style="62"/>
    <col min="4097" max="4097" width="7.5" style="62" customWidth="1"/>
    <col min="4098" max="4098" width="13.625" style="62" customWidth="1"/>
    <col min="4099" max="4100" width="7.5" style="62" customWidth="1"/>
    <col min="4101" max="4101" width="19.75" style="62" customWidth="1"/>
    <col min="4102" max="4102" width="9.5" style="62" customWidth="1"/>
    <col min="4103" max="4103" width="8.25" style="62" customWidth="1"/>
    <col min="4104" max="4104" width="10.375" style="62" customWidth="1"/>
    <col min="4105" max="4105" width="8.5" style="62" customWidth="1"/>
    <col min="4106" max="4106" width="8.125" style="62" customWidth="1"/>
    <col min="4107" max="4107" width="11.625" style="62" customWidth="1"/>
    <col min="4108" max="4108" width="15" style="62" customWidth="1"/>
    <col min="4109" max="4109" width="12.375" style="62" customWidth="1"/>
    <col min="4110" max="4110" width="32.25" style="62" customWidth="1"/>
    <col min="4111" max="4111" width="50" style="62" customWidth="1"/>
    <col min="4112" max="4112" width="10.875" style="62" customWidth="1"/>
    <col min="4113" max="4352" width="9" style="62"/>
    <col min="4353" max="4353" width="7.5" style="62" customWidth="1"/>
    <col min="4354" max="4354" width="13.625" style="62" customWidth="1"/>
    <col min="4355" max="4356" width="7.5" style="62" customWidth="1"/>
    <col min="4357" max="4357" width="19.75" style="62" customWidth="1"/>
    <col min="4358" max="4358" width="9.5" style="62" customWidth="1"/>
    <col min="4359" max="4359" width="8.25" style="62" customWidth="1"/>
    <col min="4360" max="4360" width="10.375" style="62" customWidth="1"/>
    <col min="4361" max="4361" width="8.5" style="62" customWidth="1"/>
    <col min="4362" max="4362" width="8.125" style="62" customWidth="1"/>
    <col min="4363" max="4363" width="11.625" style="62" customWidth="1"/>
    <col min="4364" max="4364" width="15" style="62" customWidth="1"/>
    <col min="4365" max="4365" width="12.375" style="62" customWidth="1"/>
    <col min="4366" max="4366" width="32.25" style="62" customWidth="1"/>
    <col min="4367" max="4367" width="50" style="62" customWidth="1"/>
    <col min="4368" max="4368" width="10.875" style="62" customWidth="1"/>
    <col min="4369" max="4608" width="9" style="62"/>
    <col min="4609" max="4609" width="7.5" style="62" customWidth="1"/>
    <col min="4610" max="4610" width="13.625" style="62" customWidth="1"/>
    <col min="4611" max="4612" width="7.5" style="62" customWidth="1"/>
    <col min="4613" max="4613" width="19.75" style="62" customWidth="1"/>
    <col min="4614" max="4614" width="9.5" style="62" customWidth="1"/>
    <col min="4615" max="4615" width="8.25" style="62" customWidth="1"/>
    <col min="4616" max="4616" width="10.375" style="62" customWidth="1"/>
    <col min="4617" max="4617" width="8.5" style="62" customWidth="1"/>
    <col min="4618" max="4618" width="8.125" style="62" customWidth="1"/>
    <col min="4619" max="4619" width="11.625" style="62" customWidth="1"/>
    <col min="4620" max="4620" width="15" style="62" customWidth="1"/>
    <col min="4621" max="4621" width="12.375" style="62" customWidth="1"/>
    <col min="4622" max="4622" width="32.25" style="62" customWidth="1"/>
    <col min="4623" max="4623" width="50" style="62" customWidth="1"/>
    <col min="4624" max="4624" width="10.875" style="62" customWidth="1"/>
    <col min="4625" max="4864" width="9" style="62"/>
    <col min="4865" max="4865" width="7.5" style="62" customWidth="1"/>
    <col min="4866" max="4866" width="13.625" style="62" customWidth="1"/>
    <col min="4867" max="4868" width="7.5" style="62" customWidth="1"/>
    <col min="4869" max="4869" width="19.75" style="62" customWidth="1"/>
    <col min="4870" max="4870" width="9.5" style="62" customWidth="1"/>
    <col min="4871" max="4871" width="8.25" style="62" customWidth="1"/>
    <col min="4872" max="4872" width="10.375" style="62" customWidth="1"/>
    <col min="4873" max="4873" width="8.5" style="62" customWidth="1"/>
    <col min="4874" max="4874" width="8.125" style="62" customWidth="1"/>
    <col min="4875" max="4875" width="11.625" style="62" customWidth="1"/>
    <col min="4876" max="4876" width="15" style="62" customWidth="1"/>
    <col min="4877" max="4877" width="12.375" style="62" customWidth="1"/>
    <col min="4878" max="4878" width="32.25" style="62" customWidth="1"/>
    <col min="4879" max="4879" width="50" style="62" customWidth="1"/>
    <col min="4880" max="4880" width="10.875" style="62" customWidth="1"/>
    <col min="4881" max="5120" width="9" style="62"/>
    <col min="5121" max="5121" width="7.5" style="62" customWidth="1"/>
    <col min="5122" max="5122" width="13.625" style="62" customWidth="1"/>
    <col min="5123" max="5124" width="7.5" style="62" customWidth="1"/>
    <col min="5125" max="5125" width="19.75" style="62" customWidth="1"/>
    <col min="5126" max="5126" width="9.5" style="62" customWidth="1"/>
    <col min="5127" max="5127" width="8.25" style="62" customWidth="1"/>
    <col min="5128" max="5128" width="10.375" style="62" customWidth="1"/>
    <col min="5129" max="5129" width="8.5" style="62" customWidth="1"/>
    <col min="5130" max="5130" width="8.125" style="62" customWidth="1"/>
    <col min="5131" max="5131" width="11.625" style="62" customWidth="1"/>
    <col min="5132" max="5132" width="15" style="62" customWidth="1"/>
    <col min="5133" max="5133" width="12.375" style="62" customWidth="1"/>
    <col min="5134" max="5134" width="32.25" style="62" customWidth="1"/>
    <col min="5135" max="5135" width="50" style="62" customWidth="1"/>
    <col min="5136" max="5136" width="10.875" style="62" customWidth="1"/>
    <col min="5137" max="5376" width="9" style="62"/>
    <col min="5377" max="5377" width="7.5" style="62" customWidth="1"/>
    <col min="5378" max="5378" width="13.625" style="62" customWidth="1"/>
    <col min="5379" max="5380" width="7.5" style="62" customWidth="1"/>
    <col min="5381" max="5381" width="19.75" style="62" customWidth="1"/>
    <col min="5382" max="5382" width="9.5" style="62" customWidth="1"/>
    <col min="5383" max="5383" width="8.25" style="62" customWidth="1"/>
    <col min="5384" max="5384" width="10.375" style="62" customWidth="1"/>
    <col min="5385" max="5385" width="8.5" style="62" customWidth="1"/>
    <col min="5386" max="5386" width="8.125" style="62" customWidth="1"/>
    <col min="5387" max="5387" width="11.625" style="62" customWidth="1"/>
    <col min="5388" max="5388" width="15" style="62" customWidth="1"/>
    <col min="5389" max="5389" width="12.375" style="62" customWidth="1"/>
    <col min="5390" max="5390" width="32.25" style="62" customWidth="1"/>
    <col min="5391" max="5391" width="50" style="62" customWidth="1"/>
    <col min="5392" max="5392" width="10.875" style="62" customWidth="1"/>
    <col min="5393" max="5632" width="9" style="62"/>
    <col min="5633" max="5633" width="7.5" style="62" customWidth="1"/>
    <col min="5634" max="5634" width="13.625" style="62" customWidth="1"/>
    <col min="5635" max="5636" width="7.5" style="62" customWidth="1"/>
    <col min="5637" max="5637" width="19.75" style="62" customWidth="1"/>
    <col min="5638" max="5638" width="9.5" style="62" customWidth="1"/>
    <col min="5639" max="5639" width="8.25" style="62" customWidth="1"/>
    <col min="5640" max="5640" width="10.375" style="62" customWidth="1"/>
    <col min="5641" max="5641" width="8.5" style="62" customWidth="1"/>
    <col min="5642" max="5642" width="8.125" style="62" customWidth="1"/>
    <col min="5643" max="5643" width="11.625" style="62" customWidth="1"/>
    <col min="5644" max="5644" width="15" style="62" customWidth="1"/>
    <col min="5645" max="5645" width="12.375" style="62" customWidth="1"/>
    <col min="5646" max="5646" width="32.25" style="62" customWidth="1"/>
    <col min="5647" max="5647" width="50" style="62" customWidth="1"/>
    <col min="5648" max="5648" width="10.875" style="62" customWidth="1"/>
    <col min="5649" max="5888" width="9" style="62"/>
    <col min="5889" max="5889" width="7.5" style="62" customWidth="1"/>
    <col min="5890" max="5890" width="13.625" style="62" customWidth="1"/>
    <col min="5891" max="5892" width="7.5" style="62" customWidth="1"/>
    <col min="5893" max="5893" width="19.75" style="62" customWidth="1"/>
    <col min="5894" max="5894" width="9.5" style="62" customWidth="1"/>
    <col min="5895" max="5895" width="8.25" style="62" customWidth="1"/>
    <col min="5896" max="5896" width="10.375" style="62" customWidth="1"/>
    <col min="5897" max="5897" width="8.5" style="62" customWidth="1"/>
    <col min="5898" max="5898" width="8.125" style="62" customWidth="1"/>
    <col min="5899" max="5899" width="11.625" style="62" customWidth="1"/>
    <col min="5900" max="5900" width="15" style="62" customWidth="1"/>
    <col min="5901" max="5901" width="12.375" style="62" customWidth="1"/>
    <col min="5902" max="5902" width="32.25" style="62" customWidth="1"/>
    <col min="5903" max="5903" width="50" style="62" customWidth="1"/>
    <col min="5904" max="5904" width="10.875" style="62" customWidth="1"/>
    <col min="5905" max="6144" width="9" style="62"/>
    <col min="6145" max="6145" width="7.5" style="62" customWidth="1"/>
    <col min="6146" max="6146" width="13.625" style="62" customWidth="1"/>
    <col min="6147" max="6148" width="7.5" style="62" customWidth="1"/>
    <col min="6149" max="6149" width="19.75" style="62" customWidth="1"/>
    <col min="6150" max="6150" width="9.5" style="62" customWidth="1"/>
    <col min="6151" max="6151" width="8.25" style="62" customWidth="1"/>
    <col min="6152" max="6152" width="10.375" style="62" customWidth="1"/>
    <col min="6153" max="6153" width="8.5" style="62" customWidth="1"/>
    <col min="6154" max="6154" width="8.125" style="62" customWidth="1"/>
    <col min="6155" max="6155" width="11.625" style="62" customWidth="1"/>
    <col min="6156" max="6156" width="15" style="62" customWidth="1"/>
    <col min="6157" max="6157" width="12.375" style="62" customWidth="1"/>
    <col min="6158" max="6158" width="32.25" style="62" customWidth="1"/>
    <col min="6159" max="6159" width="50" style="62" customWidth="1"/>
    <col min="6160" max="6160" width="10.875" style="62" customWidth="1"/>
    <col min="6161" max="6400" width="9" style="62"/>
    <col min="6401" max="6401" width="7.5" style="62" customWidth="1"/>
    <col min="6402" max="6402" width="13.625" style="62" customWidth="1"/>
    <col min="6403" max="6404" width="7.5" style="62" customWidth="1"/>
    <col min="6405" max="6405" width="19.75" style="62" customWidth="1"/>
    <col min="6406" max="6406" width="9.5" style="62" customWidth="1"/>
    <col min="6407" max="6407" width="8.25" style="62" customWidth="1"/>
    <col min="6408" max="6408" width="10.375" style="62" customWidth="1"/>
    <col min="6409" max="6409" width="8.5" style="62" customWidth="1"/>
    <col min="6410" max="6410" width="8.125" style="62" customWidth="1"/>
    <col min="6411" max="6411" width="11.625" style="62" customWidth="1"/>
    <col min="6412" max="6412" width="15" style="62" customWidth="1"/>
    <col min="6413" max="6413" width="12.375" style="62" customWidth="1"/>
    <col min="6414" max="6414" width="32.25" style="62" customWidth="1"/>
    <col min="6415" max="6415" width="50" style="62" customWidth="1"/>
    <col min="6416" max="6416" width="10.875" style="62" customWidth="1"/>
    <col min="6417" max="6656" width="9" style="62"/>
    <col min="6657" max="6657" width="7.5" style="62" customWidth="1"/>
    <col min="6658" max="6658" width="13.625" style="62" customWidth="1"/>
    <col min="6659" max="6660" width="7.5" style="62" customWidth="1"/>
    <col min="6661" max="6661" width="19.75" style="62" customWidth="1"/>
    <col min="6662" max="6662" width="9.5" style="62" customWidth="1"/>
    <col min="6663" max="6663" width="8.25" style="62" customWidth="1"/>
    <col min="6664" max="6664" width="10.375" style="62" customWidth="1"/>
    <col min="6665" max="6665" width="8.5" style="62" customWidth="1"/>
    <col min="6666" max="6666" width="8.125" style="62" customWidth="1"/>
    <col min="6667" max="6667" width="11.625" style="62" customWidth="1"/>
    <col min="6668" max="6668" width="15" style="62" customWidth="1"/>
    <col min="6669" max="6669" width="12.375" style="62" customWidth="1"/>
    <col min="6670" max="6670" width="32.25" style="62" customWidth="1"/>
    <col min="6671" max="6671" width="50" style="62" customWidth="1"/>
    <col min="6672" max="6672" width="10.875" style="62" customWidth="1"/>
    <col min="6673" max="6912" width="9" style="62"/>
    <col min="6913" max="6913" width="7.5" style="62" customWidth="1"/>
    <col min="6914" max="6914" width="13.625" style="62" customWidth="1"/>
    <col min="6915" max="6916" width="7.5" style="62" customWidth="1"/>
    <col min="6917" max="6917" width="19.75" style="62" customWidth="1"/>
    <col min="6918" max="6918" width="9.5" style="62" customWidth="1"/>
    <col min="6919" max="6919" width="8.25" style="62" customWidth="1"/>
    <col min="6920" max="6920" width="10.375" style="62" customWidth="1"/>
    <col min="6921" max="6921" width="8.5" style="62" customWidth="1"/>
    <col min="6922" max="6922" width="8.125" style="62" customWidth="1"/>
    <col min="6923" max="6923" width="11.625" style="62" customWidth="1"/>
    <col min="6924" max="6924" width="15" style="62" customWidth="1"/>
    <col min="6925" max="6925" width="12.375" style="62" customWidth="1"/>
    <col min="6926" max="6926" width="32.25" style="62" customWidth="1"/>
    <col min="6927" max="6927" width="50" style="62" customWidth="1"/>
    <col min="6928" max="6928" width="10.875" style="62" customWidth="1"/>
    <col min="6929" max="7168" width="9" style="62"/>
    <col min="7169" max="7169" width="7.5" style="62" customWidth="1"/>
    <col min="7170" max="7170" width="13.625" style="62" customWidth="1"/>
    <col min="7171" max="7172" width="7.5" style="62" customWidth="1"/>
    <col min="7173" max="7173" width="19.75" style="62" customWidth="1"/>
    <col min="7174" max="7174" width="9.5" style="62" customWidth="1"/>
    <col min="7175" max="7175" width="8.25" style="62" customWidth="1"/>
    <col min="7176" max="7176" width="10.375" style="62" customWidth="1"/>
    <col min="7177" max="7177" width="8.5" style="62" customWidth="1"/>
    <col min="7178" max="7178" width="8.125" style="62" customWidth="1"/>
    <col min="7179" max="7179" width="11.625" style="62" customWidth="1"/>
    <col min="7180" max="7180" width="15" style="62" customWidth="1"/>
    <col min="7181" max="7181" width="12.375" style="62" customWidth="1"/>
    <col min="7182" max="7182" width="32.25" style="62" customWidth="1"/>
    <col min="7183" max="7183" width="50" style="62" customWidth="1"/>
    <col min="7184" max="7184" width="10.875" style="62" customWidth="1"/>
    <col min="7185" max="7424" width="9" style="62"/>
    <col min="7425" max="7425" width="7.5" style="62" customWidth="1"/>
    <col min="7426" max="7426" width="13.625" style="62" customWidth="1"/>
    <col min="7427" max="7428" width="7.5" style="62" customWidth="1"/>
    <col min="7429" max="7429" width="19.75" style="62" customWidth="1"/>
    <col min="7430" max="7430" width="9.5" style="62" customWidth="1"/>
    <col min="7431" max="7431" width="8.25" style="62" customWidth="1"/>
    <col min="7432" max="7432" width="10.375" style="62" customWidth="1"/>
    <col min="7433" max="7433" width="8.5" style="62" customWidth="1"/>
    <col min="7434" max="7434" width="8.125" style="62" customWidth="1"/>
    <col min="7435" max="7435" width="11.625" style="62" customWidth="1"/>
    <col min="7436" max="7436" width="15" style="62" customWidth="1"/>
    <col min="7437" max="7437" width="12.375" style="62" customWidth="1"/>
    <col min="7438" max="7438" width="32.25" style="62" customWidth="1"/>
    <col min="7439" max="7439" width="50" style="62" customWidth="1"/>
    <col min="7440" max="7440" width="10.875" style="62" customWidth="1"/>
    <col min="7441" max="7680" width="9" style="62"/>
    <col min="7681" max="7681" width="7.5" style="62" customWidth="1"/>
    <col min="7682" max="7682" width="13.625" style="62" customWidth="1"/>
    <col min="7683" max="7684" width="7.5" style="62" customWidth="1"/>
    <col min="7685" max="7685" width="19.75" style="62" customWidth="1"/>
    <col min="7686" max="7686" width="9.5" style="62" customWidth="1"/>
    <col min="7687" max="7687" width="8.25" style="62" customWidth="1"/>
    <col min="7688" max="7688" width="10.375" style="62" customWidth="1"/>
    <col min="7689" max="7689" width="8.5" style="62" customWidth="1"/>
    <col min="7690" max="7690" width="8.125" style="62" customWidth="1"/>
    <col min="7691" max="7691" width="11.625" style="62" customWidth="1"/>
    <col min="7692" max="7692" width="15" style="62" customWidth="1"/>
    <col min="7693" max="7693" width="12.375" style="62" customWidth="1"/>
    <col min="7694" max="7694" width="32.25" style="62" customWidth="1"/>
    <col min="7695" max="7695" width="50" style="62" customWidth="1"/>
    <col min="7696" max="7696" width="10.875" style="62" customWidth="1"/>
    <col min="7697" max="7936" width="9" style="62"/>
    <col min="7937" max="7937" width="7.5" style="62" customWidth="1"/>
    <col min="7938" max="7938" width="13.625" style="62" customWidth="1"/>
    <col min="7939" max="7940" width="7.5" style="62" customWidth="1"/>
    <col min="7941" max="7941" width="19.75" style="62" customWidth="1"/>
    <col min="7942" max="7942" width="9.5" style="62" customWidth="1"/>
    <col min="7943" max="7943" width="8.25" style="62" customWidth="1"/>
    <col min="7944" max="7944" width="10.375" style="62" customWidth="1"/>
    <col min="7945" max="7945" width="8.5" style="62" customWidth="1"/>
    <col min="7946" max="7946" width="8.125" style="62" customWidth="1"/>
    <col min="7947" max="7947" width="11.625" style="62" customWidth="1"/>
    <col min="7948" max="7948" width="15" style="62" customWidth="1"/>
    <col min="7949" max="7949" width="12.375" style="62" customWidth="1"/>
    <col min="7950" max="7950" width="32.25" style="62" customWidth="1"/>
    <col min="7951" max="7951" width="50" style="62" customWidth="1"/>
    <col min="7952" max="7952" width="10.875" style="62" customWidth="1"/>
    <col min="7953" max="8192" width="9" style="62"/>
    <col min="8193" max="8193" width="7.5" style="62" customWidth="1"/>
    <col min="8194" max="8194" width="13.625" style="62" customWidth="1"/>
    <col min="8195" max="8196" width="7.5" style="62" customWidth="1"/>
    <col min="8197" max="8197" width="19.75" style="62" customWidth="1"/>
    <col min="8198" max="8198" width="9.5" style="62" customWidth="1"/>
    <col min="8199" max="8199" width="8.25" style="62" customWidth="1"/>
    <col min="8200" max="8200" width="10.375" style="62" customWidth="1"/>
    <col min="8201" max="8201" width="8.5" style="62" customWidth="1"/>
    <col min="8202" max="8202" width="8.125" style="62" customWidth="1"/>
    <col min="8203" max="8203" width="11.625" style="62" customWidth="1"/>
    <col min="8204" max="8204" width="15" style="62" customWidth="1"/>
    <col min="8205" max="8205" width="12.375" style="62" customWidth="1"/>
    <col min="8206" max="8206" width="32.25" style="62" customWidth="1"/>
    <col min="8207" max="8207" width="50" style="62" customWidth="1"/>
    <col min="8208" max="8208" width="10.875" style="62" customWidth="1"/>
    <col min="8209" max="8448" width="9" style="62"/>
    <col min="8449" max="8449" width="7.5" style="62" customWidth="1"/>
    <col min="8450" max="8450" width="13.625" style="62" customWidth="1"/>
    <col min="8451" max="8452" width="7.5" style="62" customWidth="1"/>
    <col min="8453" max="8453" width="19.75" style="62" customWidth="1"/>
    <col min="8454" max="8454" width="9.5" style="62" customWidth="1"/>
    <col min="8455" max="8455" width="8.25" style="62" customWidth="1"/>
    <col min="8456" max="8456" width="10.375" style="62" customWidth="1"/>
    <col min="8457" max="8457" width="8.5" style="62" customWidth="1"/>
    <col min="8458" max="8458" width="8.125" style="62" customWidth="1"/>
    <col min="8459" max="8459" width="11.625" style="62" customWidth="1"/>
    <col min="8460" max="8460" width="15" style="62" customWidth="1"/>
    <col min="8461" max="8461" width="12.375" style="62" customWidth="1"/>
    <col min="8462" max="8462" width="32.25" style="62" customWidth="1"/>
    <col min="8463" max="8463" width="50" style="62" customWidth="1"/>
    <col min="8464" max="8464" width="10.875" style="62" customWidth="1"/>
    <col min="8465" max="8704" width="9" style="62"/>
    <col min="8705" max="8705" width="7.5" style="62" customWidth="1"/>
    <col min="8706" max="8706" width="13.625" style="62" customWidth="1"/>
    <col min="8707" max="8708" width="7.5" style="62" customWidth="1"/>
    <col min="8709" max="8709" width="19.75" style="62" customWidth="1"/>
    <col min="8710" max="8710" width="9.5" style="62" customWidth="1"/>
    <col min="8711" max="8711" width="8.25" style="62" customWidth="1"/>
    <col min="8712" max="8712" width="10.375" style="62" customWidth="1"/>
    <col min="8713" max="8713" width="8.5" style="62" customWidth="1"/>
    <col min="8714" max="8714" width="8.125" style="62" customWidth="1"/>
    <col min="8715" max="8715" width="11.625" style="62" customWidth="1"/>
    <col min="8716" max="8716" width="15" style="62" customWidth="1"/>
    <col min="8717" max="8717" width="12.375" style="62" customWidth="1"/>
    <col min="8718" max="8718" width="32.25" style="62" customWidth="1"/>
    <col min="8719" max="8719" width="50" style="62" customWidth="1"/>
    <col min="8720" max="8720" width="10.875" style="62" customWidth="1"/>
    <col min="8721" max="8960" width="9" style="62"/>
    <col min="8961" max="8961" width="7.5" style="62" customWidth="1"/>
    <col min="8962" max="8962" width="13.625" style="62" customWidth="1"/>
    <col min="8963" max="8964" width="7.5" style="62" customWidth="1"/>
    <col min="8965" max="8965" width="19.75" style="62" customWidth="1"/>
    <col min="8966" max="8966" width="9.5" style="62" customWidth="1"/>
    <col min="8967" max="8967" width="8.25" style="62" customWidth="1"/>
    <col min="8968" max="8968" width="10.375" style="62" customWidth="1"/>
    <col min="8969" max="8969" width="8.5" style="62" customWidth="1"/>
    <col min="8970" max="8970" width="8.125" style="62" customWidth="1"/>
    <col min="8971" max="8971" width="11.625" style="62" customWidth="1"/>
    <col min="8972" max="8972" width="15" style="62" customWidth="1"/>
    <col min="8973" max="8973" width="12.375" style="62" customWidth="1"/>
    <col min="8974" max="8974" width="32.25" style="62" customWidth="1"/>
    <col min="8975" max="8975" width="50" style="62" customWidth="1"/>
    <col min="8976" max="8976" width="10.875" style="62" customWidth="1"/>
    <col min="8977" max="9216" width="9" style="62"/>
    <col min="9217" max="9217" width="7.5" style="62" customWidth="1"/>
    <col min="9218" max="9218" width="13.625" style="62" customWidth="1"/>
    <col min="9219" max="9220" width="7.5" style="62" customWidth="1"/>
    <col min="9221" max="9221" width="19.75" style="62" customWidth="1"/>
    <col min="9222" max="9222" width="9.5" style="62" customWidth="1"/>
    <col min="9223" max="9223" width="8.25" style="62" customWidth="1"/>
    <col min="9224" max="9224" width="10.375" style="62" customWidth="1"/>
    <col min="9225" max="9225" width="8.5" style="62" customWidth="1"/>
    <col min="9226" max="9226" width="8.125" style="62" customWidth="1"/>
    <col min="9227" max="9227" width="11.625" style="62" customWidth="1"/>
    <col min="9228" max="9228" width="15" style="62" customWidth="1"/>
    <col min="9229" max="9229" width="12.375" style="62" customWidth="1"/>
    <col min="9230" max="9230" width="32.25" style="62" customWidth="1"/>
    <col min="9231" max="9231" width="50" style="62" customWidth="1"/>
    <col min="9232" max="9232" width="10.875" style="62" customWidth="1"/>
    <col min="9233" max="9472" width="9" style="62"/>
    <col min="9473" max="9473" width="7.5" style="62" customWidth="1"/>
    <col min="9474" max="9474" width="13.625" style="62" customWidth="1"/>
    <col min="9475" max="9476" width="7.5" style="62" customWidth="1"/>
    <col min="9477" max="9477" width="19.75" style="62" customWidth="1"/>
    <col min="9478" max="9478" width="9.5" style="62" customWidth="1"/>
    <col min="9479" max="9479" width="8.25" style="62" customWidth="1"/>
    <col min="9480" max="9480" width="10.375" style="62" customWidth="1"/>
    <col min="9481" max="9481" width="8.5" style="62" customWidth="1"/>
    <col min="9482" max="9482" width="8.125" style="62" customWidth="1"/>
    <col min="9483" max="9483" width="11.625" style="62" customWidth="1"/>
    <col min="9484" max="9484" width="15" style="62" customWidth="1"/>
    <col min="9485" max="9485" width="12.375" style="62" customWidth="1"/>
    <col min="9486" max="9486" width="32.25" style="62" customWidth="1"/>
    <col min="9487" max="9487" width="50" style="62" customWidth="1"/>
    <col min="9488" max="9488" width="10.875" style="62" customWidth="1"/>
    <col min="9489" max="9728" width="9" style="62"/>
    <col min="9729" max="9729" width="7.5" style="62" customWidth="1"/>
    <col min="9730" max="9730" width="13.625" style="62" customWidth="1"/>
    <col min="9731" max="9732" width="7.5" style="62" customWidth="1"/>
    <col min="9733" max="9733" width="19.75" style="62" customWidth="1"/>
    <col min="9734" max="9734" width="9.5" style="62" customWidth="1"/>
    <col min="9735" max="9735" width="8.25" style="62" customWidth="1"/>
    <col min="9736" max="9736" width="10.375" style="62" customWidth="1"/>
    <col min="9737" max="9737" width="8.5" style="62" customWidth="1"/>
    <col min="9738" max="9738" width="8.125" style="62" customWidth="1"/>
    <col min="9739" max="9739" width="11.625" style="62" customWidth="1"/>
    <col min="9740" max="9740" width="15" style="62" customWidth="1"/>
    <col min="9741" max="9741" width="12.375" style="62" customWidth="1"/>
    <col min="9742" max="9742" width="32.25" style="62" customWidth="1"/>
    <col min="9743" max="9743" width="50" style="62" customWidth="1"/>
    <col min="9744" max="9744" width="10.875" style="62" customWidth="1"/>
    <col min="9745" max="9984" width="9" style="62"/>
    <col min="9985" max="9985" width="7.5" style="62" customWidth="1"/>
    <col min="9986" max="9986" width="13.625" style="62" customWidth="1"/>
    <col min="9987" max="9988" width="7.5" style="62" customWidth="1"/>
    <col min="9989" max="9989" width="19.75" style="62" customWidth="1"/>
    <col min="9990" max="9990" width="9.5" style="62" customWidth="1"/>
    <col min="9991" max="9991" width="8.25" style="62" customWidth="1"/>
    <col min="9992" max="9992" width="10.375" style="62" customWidth="1"/>
    <col min="9993" max="9993" width="8.5" style="62" customWidth="1"/>
    <col min="9994" max="9994" width="8.125" style="62" customWidth="1"/>
    <col min="9995" max="9995" width="11.625" style="62" customWidth="1"/>
    <col min="9996" max="9996" width="15" style="62" customWidth="1"/>
    <col min="9997" max="9997" width="12.375" style="62" customWidth="1"/>
    <col min="9998" max="9998" width="32.25" style="62" customWidth="1"/>
    <col min="9999" max="9999" width="50" style="62" customWidth="1"/>
    <col min="10000" max="10000" width="10.875" style="62" customWidth="1"/>
    <col min="10001" max="10240" width="9" style="62"/>
    <col min="10241" max="10241" width="7.5" style="62" customWidth="1"/>
    <col min="10242" max="10242" width="13.625" style="62" customWidth="1"/>
    <col min="10243" max="10244" width="7.5" style="62" customWidth="1"/>
    <col min="10245" max="10245" width="19.75" style="62" customWidth="1"/>
    <col min="10246" max="10246" width="9.5" style="62" customWidth="1"/>
    <col min="10247" max="10247" width="8.25" style="62" customWidth="1"/>
    <col min="10248" max="10248" width="10.375" style="62" customWidth="1"/>
    <col min="10249" max="10249" width="8.5" style="62" customWidth="1"/>
    <col min="10250" max="10250" width="8.125" style="62" customWidth="1"/>
    <col min="10251" max="10251" width="11.625" style="62" customWidth="1"/>
    <col min="10252" max="10252" width="15" style="62" customWidth="1"/>
    <col min="10253" max="10253" width="12.375" style="62" customWidth="1"/>
    <col min="10254" max="10254" width="32.25" style="62" customWidth="1"/>
    <col min="10255" max="10255" width="50" style="62" customWidth="1"/>
    <col min="10256" max="10256" width="10.875" style="62" customWidth="1"/>
    <col min="10257" max="10496" width="9" style="62"/>
    <col min="10497" max="10497" width="7.5" style="62" customWidth="1"/>
    <col min="10498" max="10498" width="13.625" style="62" customWidth="1"/>
    <col min="10499" max="10500" width="7.5" style="62" customWidth="1"/>
    <col min="10501" max="10501" width="19.75" style="62" customWidth="1"/>
    <col min="10502" max="10502" width="9.5" style="62" customWidth="1"/>
    <col min="10503" max="10503" width="8.25" style="62" customWidth="1"/>
    <col min="10504" max="10504" width="10.375" style="62" customWidth="1"/>
    <col min="10505" max="10505" width="8.5" style="62" customWidth="1"/>
    <col min="10506" max="10506" width="8.125" style="62" customWidth="1"/>
    <col min="10507" max="10507" width="11.625" style="62" customWidth="1"/>
    <col min="10508" max="10508" width="15" style="62" customWidth="1"/>
    <col min="10509" max="10509" width="12.375" style="62" customWidth="1"/>
    <col min="10510" max="10510" width="32.25" style="62" customWidth="1"/>
    <col min="10511" max="10511" width="50" style="62" customWidth="1"/>
    <col min="10512" max="10512" width="10.875" style="62" customWidth="1"/>
    <col min="10513" max="10752" width="9" style="62"/>
    <col min="10753" max="10753" width="7.5" style="62" customWidth="1"/>
    <col min="10754" max="10754" width="13.625" style="62" customWidth="1"/>
    <col min="10755" max="10756" width="7.5" style="62" customWidth="1"/>
    <col min="10757" max="10757" width="19.75" style="62" customWidth="1"/>
    <col min="10758" max="10758" width="9.5" style="62" customWidth="1"/>
    <col min="10759" max="10759" width="8.25" style="62" customWidth="1"/>
    <col min="10760" max="10760" width="10.375" style="62" customWidth="1"/>
    <col min="10761" max="10761" width="8.5" style="62" customWidth="1"/>
    <col min="10762" max="10762" width="8.125" style="62" customWidth="1"/>
    <col min="10763" max="10763" width="11.625" style="62" customWidth="1"/>
    <col min="10764" max="10764" width="15" style="62" customWidth="1"/>
    <col min="10765" max="10765" width="12.375" style="62" customWidth="1"/>
    <col min="10766" max="10766" width="32.25" style="62" customWidth="1"/>
    <col min="10767" max="10767" width="50" style="62" customWidth="1"/>
    <col min="10768" max="10768" width="10.875" style="62" customWidth="1"/>
    <col min="10769" max="11008" width="9" style="62"/>
    <col min="11009" max="11009" width="7.5" style="62" customWidth="1"/>
    <col min="11010" max="11010" width="13.625" style="62" customWidth="1"/>
    <col min="11011" max="11012" width="7.5" style="62" customWidth="1"/>
    <col min="11013" max="11013" width="19.75" style="62" customWidth="1"/>
    <col min="11014" max="11014" width="9.5" style="62" customWidth="1"/>
    <col min="11015" max="11015" width="8.25" style="62" customWidth="1"/>
    <col min="11016" max="11016" width="10.375" style="62" customWidth="1"/>
    <col min="11017" max="11017" width="8.5" style="62" customWidth="1"/>
    <col min="11018" max="11018" width="8.125" style="62" customWidth="1"/>
    <col min="11019" max="11019" width="11.625" style="62" customWidth="1"/>
    <col min="11020" max="11020" width="15" style="62" customWidth="1"/>
    <col min="11021" max="11021" width="12.375" style="62" customWidth="1"/>
    <col min="11022" max="11022" width="32.25" style="62" customWidth="1"/>
    <col min="11023" max="11023" width="50" style="62" customWidth="1"/>
    <col min="11024" max="11024" width="10.875" style="62" customWidth="1"/>
    <col min="11025" max="11264" width="9" style="62"/>
    <col min="11265" max="11265" width="7.5" style="62" customWidth="1"/>
    <col min="11266" max="11266" width="13.625" style="62" customWidth="1"/>
    <col min="11267" max="11268" width="7.5" style="62" customWidth="1"/>
    <col min="11269" max="11269" width="19.75" style="62" customWidth="1"/>
    <col min="11270" max="11270" width="9.5" style="62" customWidth="1"/>
    <col min="11271" max="11271" width="8.25" style="62" customWidth="1"/>
    <col min="11272" max="11272" width="10.375" style="62" customWidth="1"/>
    <col min="11273" max="11273" width="8.5" style="62" customWidth="1"/>
    <col min="11274" max="11274" width="8.125" style="62" customWidth="1"/>
    <col min="11275" max="11275" width="11.625" style="62" customWidth="1"/>
    <col min="11276" max="11276" width="15" style="62" customWidth="1"/>
    <col min="11277" max="11277" width="12.375" style="62" customWidth="1"/>
    <col min="11278" max="11278" width="32.25" style="62" customWidth="1"/>
    <col min="11279" max="11279" width="50" style="62" customWidth="1"/>
    <col min="11280" max="11280" width="10.875" style="62" customWidth="1"/>
    <col min="11281" max="11520" width="9" style="62"/>
    <col min="11521" max="11521" width="7.5" style="62" customWidth="1"/>
    <col min="11522" max="11522" width="13.625" style="62" customWidth="1"/>
    <col min="11523" max="11524" width="7.5" style="62" customWidth="1"/>
    <col min="11525" max="11525" width="19.75" style="62" customWidth="1"/>
    <col min="11526" max="11526" width="9.5" style="62" customWidth="1"/>
    <col min="11527" max="11527" width="8.25" style="62" customWidth="1"/>
    <col min="11528" max="11528" width="10.375" style="62" customWidth="1"/>
    <col min="11529" max="11529" width="8.5" style="62" customWidth="1"/>
    <col min="11530" max="11530" width="8.125" style="62" customWidth="1"/>
    <col min="11531" max="11531" width="11.625" style="62" customWidth="1"/>
    <col min="11532" max="11532" width="15" style="62" customWidth="1"/>
    <col min="11533" max="11533" width="12.375" style="62" customWidth="1"/>
    <col min="11534" max="11534" width="32.25" style="62" customWidth="1"/>
    <col min="11535" max="11535" width="50" style="62" customWidth="1"/>
    <col min="11536" max="11536" width="10.875" style="62" customWidth="1"/>
    <col min="11537" max="11776" width="9" style="62"/>
    <col min="11777" max="11777" width="7.5" style="62" customWidth="1"/>
    <col min="11778" max="11778" width="13.625" style="62" customWidth="1"/>
    <col min="11779" max="11780" width="7.5" style="62" customWidth="1"/>
    <col min="11781" max="11781" width="19.75" style="62" customWidth="1"/>
    <col min="11782" max="11782" width="9.5" style="62" customWidth="1"/>
    <col min="11783" max="11783" width="8.25" style="62" customWidth="1"/>
    <col min="11784" max="11784" width="10.375" style="62" customWidth="1"/>
    <col min="11785" max="11785" width="8.5" style="62" customWidth="1"/>
    <col min="11786" max="11786" width="8.125" style="62" customWidth="1"/>
    <col min="11787" max="11787" width="11.625" style="62" customWidth="1"/>
    <col min="11788" max="11788" width="15" style="62" customWidth="1"/>
    <col min="11789" max="11789" width="12.375" style="62" customWidth="1"/>
    <col min="11790" max="11790" width="32.25" style="62" customWidth="1"/>
    <col min="11791" max="11791" width="50" style="62" customWidth="1"/>
    <col min="11792" max="11792" width="10.875" style="62" customWidth="1"/>
    <col min="11793" max="12032" width="9" style="62"/>
    <col min="12033" max="12033" width="7.5" style="62" customWidth="1"/>
    <col min="12034" max="12034" width="13.625" style="62" customWidth="1"/>
    <col min="12035" max="12036" width="7.5" style="62" customWidth="1"/>
    <col min="12037" max="12037" width="19.75" style="62" customWidth="1"/>
    <col min="12038" max="12038" width="9.5" style="62" customWidth="1"/>
    <col min="12039" max="12039" width="8.25" style="62" customWidth="1"/>
    <col min="12040" max="12040" width="10.375" style="62" customWidth="1"/>
    <col min="12041" max="12041" width="8.5" style="62" customWidth="1"/>
    <col min="12042" max="12042" width="8.125" style="62" customWidth="1"/>
    <col min="12043" max="12043" width="11.625" style="62" customWidth="1"/>
    <col min="12044" max="12044" width="15" style="62" customWidth="1"/>
    <col min="12045" max="12045" width="12.375" style="62" customWidth="1"/>
    <col min="12046" max="12046" width="32.25" style="62" customWidth="1"/>
    <col min="12047" max="12047" width="50" style="62" customWidth="1"/>
    <col min="12048" max="12048" width="10.875" style="62" customWidth="1"/>
    <col min="12049" max="12288" width="9" style="62"/>
    <col min="12289" max="12289" width="7.5" style="62" customWidth="1"/>
    <col min="12290" max="12290" width="13.625" style="62" customWidth="1"/>
    <col min="12291" max="12292" width="7.5" style="62" customWidth="1"/>
    <col min="12293" max="12293" width="19.75" style="62" customWidth="1"/>
    <col min="12294" max="12294" width="9.5" style="62" customWidth="1"/>
    <col min="12295" max="12295" width="8.25" style="62" customWidth="1"/>
    <col min="12296" max="12296" width="10.375" style="62" customWidth="1"/>
    <col min="12297" max="12297" width="8.5" style="62" customWidth="1"/>
    <col min="12298" max="12298" width="8.125" style="62" customWidth="1"/>
    <col min="12299" max="12299" width="11.625" style="62" customWidth="1"/>
    <col min="12300" max="12300" width="15" style="62" customWidth="1"/>
    <col min="12301" max="12301" width="12.375" style="62" customWidth="1"/>
    <col min="12302" max="12302" width="32.25" style="62" customWidth="1"/>
    <col min="12303" max="12303" width="50" style="62" customWidth="1"/>
    <col min="12304" max="12304" width="10.875" style="62" customWidth="1"/>
    <col min="12305" max="12544" width="9" style="62"/>
    <col min="12545" max="12545" width="7.5" style="62" customWidth="1"/>
    <col min="12546" max="12546" width="13.625" style="62" customWidth="1"/>
    <col min="12547" max="12548" width="7.5" style="62" customWidth="1"/>
    <col min="12549" max="12549" width="19.75" style="62" customWidth="1"/>
    <col min="12550" max="12550" width="9.5" style="62" customWidth="1"/>
    <col min="12551" max="12551" width="8.25" style="62" customWidth="1"/>
    <col min="12552" max="12552" width="10.375" style="62" customWidth="1"/>
    <col min="12553" max="12553" width="8.5" style="62" customWidth="1"/>
    <col min="12554" max="12554" width="8.125" style="62" customWidth="1"/>
    <col min="12555" max="12555" width="11.625" style="62" customWidth="1"/>
    <col min="12556" max="12556" width="15" style="62" customWidth="1"/>
    <col min="12557" max="12557" width="12.375" style="62" customWidth="1"/>
    <col min="12558" max="12558" width="32.25" style="62" customWidth="1"/>
    <col min="12559" max="12559" width="50" style="62" customWidth="1"/>
    <col min="12560" max="12560" width="10.875" style="62" customWidth="1"/>
    <col min="12561" max="12800" width="9" style="62"/>
    <col min="12801" max="12801" width="7.5" style="62" customWidth="1"/>
    <col min="12802" max="12802" width="13.625" style="62" customWidth="1"/>
    <col min="12803" max="12804" width="7.5" style="62" customWidth="1"/>
    <col min="12805" max="12805" width="19.75" style="62" customWidth="1"/>
    <col min="12806" max="12806" width="9.5" style="62" customWidth="1"/>
    <col min="12807" max="12807" width="8.25" style="62" customWidth="1"/>
    <col min="12808" max="12808" width="10.375" style="62" customWidth="1"/>
    <col min="12809" max="12809" width="8.5" style="62" customWidth="1"/>
    <col min="12810" max="12810" width="8.125" style="62" customWidth="1"/>
    <col min="12811" max="12811" width="11.625" style="62" customWidth="1"/>
    <col min="12812" max="12812" width="15" style="62" customWidth="1"/>
    <col min="12813" max="12813" width="12.375" style="62" customWidth="1"/>
    <col min="12814" max="12814" width="32.25" style="62" customWidth="1"/>
    <col min="12815" max="12815" width="50" style="62" customWidth="1"/>
    <col min="12816" max="12816" width="10.875" style="62" customWidth="1"/>
    <col min="12817" max="13056" width="9" style="62"/>
    <col min="13057" max="13057" width="7.5" style="62" customWidth="1"/>
    <col min="13058" max="13058" width="13.625" style="62" customWidth="1"/>
    <col min="13059" max="13060" width="7.5" style="62" customWidth="1"/>
    <col min="13061" max="13061" width="19.75" style="62" customWidth="1"/>
    <col min="13062" max="13062" width="9.5" style="62" customWidth="1"/>
    <col min="13063" max="13063" width="8.25" style="62" customWidth="1"/>
    <col min="13064" max="13064" width="10.375" style="62" customWidth="1"/>
    <col min="13065" max="13065" width="8.5" style="62" customWidth="1"/>
    <col min="13066" max="13066" width="8.125" style="62" customWidth="1"/>
    <col min="13067" max="13067" width="11.625" style="62" customWidth="1"/>
    <col min="13068" max="13068" width="15" style="62" customWidth="1"/>
    <col min="13069" max="13069" width="12.375" style="62" customWidth="1"/>
    <col min="13070" max="13070" width="32.25" style="62" customWidth="1"/>
    <col min="13071" max="13071" width="50" style="62" customWidth="1"/>
    <col min="13072" max="13072" width="10.875" style="62" customWidth="1"/>
    <col min="13073" max="13312" width="9" style="62"/>
    <col min="13313" max="13313" width="7.5" style="62" customWidth="1"/>
    <col min="13314" max="13314" width="13.625" style="62" customWidth="1"/>
    <col min="13315" max="13316" width="7.5" style="62" customWidth="1"/>
    <col min="13317" max="13317" width="19.75" style="62" customWidth="1"/>
    <col min="13318" max="13318" width="9.5" style="62" customWidth="1"/>
    <col min="13319" max="13319" width="8.25" style="62" customWidth="1"/>
    <col min="13320" max="13320" width="10.375" style="62" customWidth="1"/>
    <col min="13321" max="13321" width="8.5" style="62" customWidth="1"/>
    <col min="13322" max="13322" width="8.125" style="62" customWidth="1"/>
    <col min="13323" max="13323" width="11.625" style="62" customWidth="1"/>
    <col min="13324" max="13324" width="15" style="62" customWidth="1"/>
    <col min="13325" max="13325" width="12.375" style="62" customWidth="1"/>
    <col min="13326" max="13326" width="32.25" style="62" customWidth="1"/>
    <col min="13327" max="13327" width="50" style="62" customWidth="1"/>
    <col min="13328" max="13328" width="10.875" style="62" customWidth="1"/>
    <col min="13329" max="13568" width="9" style="62"/>
    <col min="13569" max="13569" width="7.5" style="62" customWidth="1"/>
    <col min="13570" max="13570" width="13.625" style="62" customWidth="1"/>
    <col min="13571" max="13572" width="7.5" style="62" customWidth="1"/>
    <col min="13573" max="13573" width="19.75" style="62" customWidth="1"/>
    <col min="13574" max="13574" width="9.5" style="62" customWidth="1"/>
    <col min="13575" max="13575" width="8.25" style="62" customWidth="1"/>
    <col min="13576" max="13576" width="10.375" style="62" customWidth="1"/>
    <col min="13577" max="13577" width="8.5" style="62" customWidth="1"/>
    <col min="13578" max="13578" width="8.125" style="62" customWidth="1"/>
    <col min="13579" max="13579" width="11.625" style="62" customWidth="1"/>
    <col min="13580" max="13580" width="15" style="62" customWidth="1"/>
    <col min="13581" max="13581" width="12.375" style="62" customWidth="1"/>
    <col min="13582" max="13582" width="32.25" style="62" customWidth="1"/>
    <col min="13583" max="13583" width="50" style="62" customWidth="1"/>
    <col min="13584" max="13584" width="10.875" style="62" customWidth="1"/>
    <col min="13585" max="13824" width="9" style="62"/>
    <col min="13825" max="13825" width="7.5" style="62" customWidth="1"/>
    <col min="13826" max="13826" width="13.625" style="62" customWidth="1"/>
    <col min="13827" max="13828" width="7.5" style="62" customWidth="1"/>
    <col min="13829" max="13829" width="19.75" style="62" customWidth="1"/>
    <col min="13830" max="13830" width="9.5" style="62" customWidth="1"/>
    <col min="13831" max="13831" width="8.25" style="62" customWidth="1"/>
    <col min="13832" max="13832" width="10.375" style="62" customWidth="1"/>
    <col min="13833" max="13833" width="8.5" style="62" customWidth="1"/>
    <col min="13834" max="13834" width="8.125" style="62" customWidth="1"/>
    <col min="13835" max="13835" width="11.625" style="62" customWidth="1"/>
    <col min="13836" max="13836" width="15" style="62" customWidth="1"/>
    <col min="13837" max="13837" width="12.375" style="62" customWidth="1"/>
    <col min="13838" max="13838" width="32.25" style="62" customWidth="1"/>
    <col min="13839" max="13839" width="50" style="62" customWidth="1"/>
    <col min="13840" max="13840" width="10.875" style="62" customWidth="1"/>
    <col min="13841" max="14080" width="9" style="62"/>
    <col min="14081" max="14081" width="7.5" style="62" customWidth="1"/>
    <col min="14082" max="14082" width="13.625" style="62" customWidth="1"/>
    <col min="14083" max="14084" width="7.5" style="62" customWidth="1"/>
    <col min="14085" max="14085" width="19.75" style="62" customWidth="1"/>
    <col min="14086" max="14086" width="9.5" style="62" customWidth="1"/>
    <col min="14087" max="14087" width="8.25" style="62" customWidth="1"/>
    <col min="14088" max="14088" width="10.375" style="62" customWidth="1"/>
    <col min="14089" max="14089" width="8.5" style="62" customWidth="1"/>
    <col min="14090" max="14090" width="8.125" style="62" customWidth="1"/>
    <col min="14091" max="14091" width="11.625" style="62" customWidth="1"/>
    <col min="14092" max="14092" width="15" style="62" customWidth="1"/>
    <col min="14093" max="14093" width="12.375" style="62" customWidth="1"/>
    <col min="14094" max="14094" width="32.25" style="62" customWidth="1"/>
    <col min="14095" max="14095" width="50" style="62" customWidth="1"/>
    <col min="14096" max="14096" width="10.875" style="62" customWidth="1"/>
    <col min="14097" max="14336" width="9" style="62"/>
    <col min="14337" max="14337" width="7.5" style="62" customWidth="1"/>
    <col min="14338" max="14338" width="13.625" style="62" customWidth="1"/>
    <col min="14339" max="14340" width="7.5" style="62" customWidth="1"/>
    <col min="14341" max="14341" width="19.75" style="62" customWidth="1"/>
    <col min="14342" max="14342" width="9.5" style="62" customWidth="1"/>
    <col min="14343" max="14343" width="8.25" style="62" customWidth="1"/>
    <col min="14344" max="14344" width="10.375" style="62" customWidth="1"/>
    <col min="14345" max="14345" width="8.5" style="62" customWidth="1"/>
    <col min="14346" max="14346" width="8.125" style="62" customWidth="1"/>
    <col min="14347" max="14347" width="11.625" style="62" customWidth="1"/>
    <col min="14348" max="14348" width="15" style="62" customWidth="1"/>
    <col min="14349" max="14349" width="12.375" style="62" customWidth="1"/>
    <col min="14350" max="14350" width="32.25" style="62" customWidth="1"/>
    <col min="14351" max="14351" width="50" style="62" customWidth="1"/>
    <col min="14352" max="14352" width="10.875" style="62" customWidth="1"/>
    <col min="14353" max="14592" width="9" style="62"/>
    <col min="14593" max="14593" width="7.5" style="62" customWidth="1"/>
    <col min="14594" max="14594" width="13.625" style="62" customWidth="1"/>
    <col min="14595" max="14596" width="7.5" style="62" customWidth="1"/>
    <col min="14597" max="14597" width="19.75" style="62" customWidth="1"/>
    <col min="14598" max="14598" width="9.5" style="62" customWidth="1"/>
    <col min="14599" max="14599" width="8.25" style="62" customWidth="1"/>
    <col min="14600" max="14600" width="10.375" style="62" customWidth="1"/>
    <col min="14601" max="14601" width="8.5" style="62" customWidth="1"/>
    <col min="14602" max="14602" width="8.125" style="62" customWidth="1"/>
    <col min="14603" max="14603" width="11.625" style="62" customWidth="1"/>
    <col min="14604" max="14604" width="15" style="62" customWidth="1"/>
    <col min="14605" max="14605" width="12.375" style="62" customWidth="1"/>
    <col min="14606" max="14606" width="32.25" style="62" customWidth="1"/>
    <col min="14607" max="14607" width="50" style="62" customWidth="1"/>
    <col min="14608" max="14608" width="10.875" style="62" customWidth="1"/>
    <col min="14609" max="14848" width="9" style="62"/>
    <col min="14849" max="14849" width="7.5" style="62" customWidth="1"/>
    <col min="14850" max="14850" width="13.625" style="62" customWidth="1"/>
    <col min="14851" max="14852" width="7.5" style="62" customWidth="1"/>
    <col min="14853" max="14853" width="19.75" style="62" customWidth="1"/>
    <col min="14854" max="14854" width="9.5" style="62" customWidth="1"/>
    <col min="14855" max="14855" width="8.25" style="62" customWidth="1"/>
    <col min="14856" max="14856" width="10.375" style="62" customWidth="1"/>
    <col min="14857" max="14857" width="8.5" style="62" customWidth="1"/>
    <col min="14858" max="14858" width="8.125" style="62" customWidth="1"/>
    <col min="14859" max="14859" width="11.625" style="62" customWidth="1"/>
    <col min="14860" max="14860" width="15" style="62" customWidth="1"/>
    <col min="14861" max="14861" width="12.375" style="62" customWidth="1"/>
    <col min="14862" max="14862" width="32.25" style="62" customWidth="1"/>
    <col min="14863" max="14863" width="50" style="62" customWidth="1"/>
    <col min="14864" max="14864" width="10.875" style="62" customWidth="1"/>
    <col min="14865" max="15104" width="9" style="62"/>
    <col min="15105" max="15105" width="7.5" style="62" customWidth="1"/>
    <col min="15106" max="15106" width="13.625" style="62" customWidth="1"/>
    <col min="15107" max="15108" width="7.5" style="62" customWidth="1"/>
    <col min="15109" max="15109" width="19.75" style="62" customWidth="1"/>
    <col min="15110" max="15110" width="9.5" style="62" customWidth="1"/>
    <col min="15111" max="15111" width="8.25" style="62" customWidth="1"/>
    <col min="15112" max="15112" width="10.375" style="62" customWidth="1"/>
    <col min="15113" max="15113" width="8.5" style="62" customWidth="1"/>
    <col min="15114" max="15114" width="8.125" style="62" customWidth="1"/>
    <col min="15115" max="15115" width="11.625" style="62" customWidth="1"/>
    <col min="15116" max="15116" width="15" style="62" customWidth="1"/>
    <col min="15117" max="15117" width="12.375" style="62" customWidth="1"/>
    <col min="15118" max="15118" width="32.25" style="62" customWidth="1"/>
    <col min="15119" max="15119" width="50" style="62" customWidth="1"/>
    <col min="15120" max="15120" width="10.875" style="62" customWidth="1"/>
    <col min="15121" max="15360" width="9" style="62"/>
    <col min="15361" max="15361" width="7.5" style="62" customWidth="1"/>
    <col min="15362" max="15362" width="13.625" style="62" customWidth="1"/>
    <col min="15363" max="15364" width="7.5" style="62" customWidth="1"/>
    <col min="15365" max="15365" width="19.75" style="62" customWidth="1"/>
    <col min="15366" max="15366" width="9.5" style="62" customWidth="1"/>
    <col min="15367" max="15367" width="8.25" style="62" customWidth="1"/>
    <col min="15368" max="15368" width="10.375" style="62" customWidth="1"/>
    <col min="15369" max="15369" width="8.5" style="62" customWidth="1"/>
    <col min="15370" max="15370" width="8.125" style="62" customWidth="1"/>
    <col min="15371" max="15371" width="11.625" style="62" customWidth="1"/>
    <col min="15372" max="15372" width="15" style="62" customWidth="1"/>
    <col min="15373" max="15373" width="12.375" style="62" customWidth="1"/>
    <col min="15374" max="15374" width="32.25" style="62" customWidth="1"/>
    <col min="15375" max="15375" width="50" style="62" customWidth="1"/>
    <col min="15376" max="15376" width="10.875" style="62" customWidth="1"/>
    <col min="15377" max="15616" width="9" style="62"/>
    <col min="15617" max="15617" width="7.5" style="62" customWidth="1"/>
    <col min="15618" max="15618" width="13.625" style="62" customWidth="1"/>
    <col min="15619" max="15620" width="7.5" style="62" customWidth="1"/>
    <col min="15621" max="15621" width="19.75" style="62" customWidth="1"/>
    <col min="15622" max="15622" width="9.5" style="62" customWidth="1"/>
    <col min="15623" max="15623" width="8.25" style="62" customWidth="1"/>
    <col min="15624" max="15624" width="10.375" style="62" customWidth="1"/>
    <col min="15625" max="15625" width="8.5" style="62" customWidth="1"/>
    <col min="15626" max="15626" width="8.125" style="62" customWidth="1"/>
    <col min="15627" max="15627" width="11.625" style="62" customWidth="1"/>
    <col min="15628" max="15628" width="15" style="62" customWidth="1"/>
    <col min="15629" max="15629" width="12.375" style="62" customWidth="1"/>
    <col min="15630" max="15630" width="32.25" style="62" customWidth="1"/>
    <col min="15631" max="15631" width="50" style="62" customWidth="1"/>
    <col min="15632" max="15632" width="10.875" style="62" customWidth="1"/>
    <col min="15633" max="15872" width="9" style="62"/>
    <col min="15873" max="15873" width="7.5" style="62" customWidth="1"/>
    <col min="15874" max="15874" width="13.625" style="62" customWidth="1"/>
    <col min="15875" max="15876" width="7.5" style="62" customWidth="1"/>
    <col min="15877" max="15877" width="19.75" style="62" customWidth="1"/>
    <col min="15878" max="15878" width="9.5" style="62" customWidth="1"/>
    <col min="15879" max="15879" width="8.25" style="62" customWidth="1"/>
    <col min="15880" max="15880" width="10.375" style="62" customWidth="1"/>
    <col min="15881" max="15881" width="8.5" style="62" customWidth="1"/>
    <col min="15882" max="15882" width="8.125" style="62" customWidth="1"/>
    <col min="15883" max="15883" width="11.625" style="62" customWidth="1"/>
    <col min="15884" max="15884" width="15" style="62" customWidth="1"/>
    <col min="15885" max="15885" width="12.375" style="62" customWidth="1"/>
    <col min="15886" max="15886" width="32.25" style="62" customWidth="1"/>
    <col min="15887" max="15887" width="50" style="62" customWidth="1"/>
    <col min="15888" max="15888" width="10.875" style="62" customWidth="1"/>
    <col min="15889" max="16128" width="9" style="62"/>
    <col min="16129" max="16129" width="7.5" style="62" customWidth="1"/>
    <col min="16130" max="16130" width="13.625" style="62" customWidth="1"/>
    <col min="16131" max="16132" width="7.5" style="62" customWidth="1"/>
    <col min="16133" max="16133" width="19.75" style="62" customWidth="1"/>
    <col min="16134" max="16134" width="9.5" style="62" customWidth="1"/>
    <col min="16135" max="16135" width="8.25" style="62" customWidth="1"/>
    <col min="16136" max="16136" width="10.375" style="62" customWidth="1"/>
    <col min="16137" max="16137" width="8.5" style="62" customWidth="1"/>
    <col min="16138" max="16138" width="8.125" style="62" customWidth="1"/>
    <col min="16139" max="16139" width="11.625" style="62" customWidth="1"/>
    <col min="16140" max="16140" width="15" style="62" customWidth="1"/>
    <col min="16141" max="16141" width="12.375" style="62" customWidth="1"/>
    <col min="16142" max="16142" width="32.25" style="62" customWidth="1"/>
    <col min="16143" max="16143" width="50" style="62" customWidth="1"/>
    <col min="16144" max="16144" width="10.875" style="62" customWidth="1"/>
    <col min="16145" max="16384" width="9" style="62"/>
  </cols>
  <sheetData>
    <row r="1" spans="1:16" ht="94.5">
      <c r="A1" s="56" t="s">
        <v>111</v>
      </c>
      <c r="B1" s="57" t="s">
        <v>1652</v>
      </c>
      <c r="C1" s="57" t="s">
        <v>1653</v>
      </c>
      <c r="D1" s="57" t="s">
        <v>1654</v>
      </c>
      <c r="E1" s="58" t="s">
        <v>1655</v>
      </c>
      <c r="F1" s="58" t="s">
        <v>1656</v>
      </c>
      <c r="G1" s="58" t="s">
        <v>112</v>
      </c>
      <c r="H1" s="58" t="s">
        <v>113</v>
      </c>
      <c r="I1" s="58" t="s">
        <v>114</v>
      </c>
      <c r="J1" s="58" t="s">
        <v>115</v>
      </c>
      <c r="K1" s="59" t="s">
        <v>116</v>
      </c>
      <c r="L1" s="58" t="s">
        <v>117</v>
      </c>
      <c r="M1" s="60" t="s">
        <v>118</v>
      </c>
      <c r="N1" s="58" t="s">
        <v>1657</v>
      </c>
      <c r="O1" s="61" t="s">
        <v>119</v>
      </c>
      <c r="P1" s="58" t="s">
        <v>120</v>
      </c>
    </row>
    <row r="2" spans="1:16" ht="30" customHeight="1">
      <c r="A2" s="63"/>
      <c r="B2" s="64" t="s">
        <v>817</v>
      </c>
      <c r="C2" s="65"/>
      <c r="D2" s="65" t="s">
        <v>121</v>
      </c>
      <c r="E2" s="66" t="s">
        <v>122</v>
      </c>
      <c r="F2" s="67" t="s">
        <v>123</v>
      </c>
      <c r="G2" s="67" t="s">
        <v>124</v>
      </c>
      <c r="H2" s="67" t="s">
        <v>125</v>
      </c>
      <c r="I2" s="67" t="s">
        <v>124</v>
      </c>
      <c r="J2" s="67" t="s">
        <v>126</v>
      </c>
      <c r="K2" s="68"/>
      <c r="L2" s="69"/>
      <c r="M2" s="70" t="s">
        <v>127</v>
      </c>
      <c r="N2" s="71"/>
      <c r="O2" s="72" t="s">
        <v>1549</v>
      </c>
      <c r="P2" s="62" t="s">
        <v>128</v>
      </c>
    </row>
    <row r="3" spans="1:16" ht="30" customHeight="1">
      <c r="A3" s="63"/>
      <c r="B3" s="64" t="s">
        <v>818</v>
      </c>
      <c r="C3" s="65"/>
      <c r="D3" s="65" t="s">
        <v>121</v>
      </c>
      <c r="E3" s="66" t="s">
        <v>129</v>
      </c>
      <c r="F3" s="67" t="s">
        <v>123</v>
      </c>
      <c r="G3" s="67" t="s">
        <v>124</v>
      </c>
      <c r="H3" s="67" t="s">
        <v>125</v>
      </c>
      <c r="I3" s="67" t="s">
        <v>124</v>
      </c>
      <c r="J3" s="67" t="s">
        <v>126</v>
      </c>
      <c r="K3" s="68"/>
      <c r="L3" s="69"/>
      <c r="M3" s="70"/>
      <c r="N3" s="71"/>
      <c r="O3" s="72" t="s">
        <v>1550</v>
      </c>
      <c r="P3" s="62" t="s">
        <v>128</v>
      </c>
    </row>
    <row r="4" spans="1:16" ht="30" customHeight="1">
      <c r="A4" s="63"/>
      <c r="B4" s="64" t="s">
        <v>130</v>
      </c>
      <c r="C4" s="65"/>
      <c r="D4" s="65" t="s">
        <v>131</v>
      </c>
      <c r="E4" s="66" t="s">
        <v>132</v>
      </c>
      <c r="F4" s="67" t="s">
        <v>123</v>
      </c>
      <c r="G4" s="67" t="s">
        <v>124</v>
      </c>
      <c r="H4" s="67" t="s">
        <v>125</v>
      </c>
      <c r="I4" s="67" t="s">
        <v>124</v>
      </c>
      <c r="J4" s="67" t="s">
        <v>126</v>
      </c>
      <c r="K4" s="70" t="s">
        <v>858</v>
      </c>
      <c r="L4" s="69"/>
      <c r="M4" s="70"/>
      <c r="N4" s="71"/>
      <c r="O4" s="72" t="s">
        <v>133</v>
      </c>
      <c r="P4" s="62" t="s">
        <v>128</v>
      </c>
    </row>
    <row r="5" spans="1:16" ht="30" customHeight="1">
      <c r="A5" s="63"/>
      <c r="B5" s="64" t="s">
        <v>134</v>
      </c>
      <c r="C5" s="65"/>
      <c r="D5" s="65" t="s">
        <v>131</v>
      </c>
      <c r="E5" s="66" t="s">
        <v>135</v>
      </c>
      <c r="F5" s="67" t="s">
        <v>136</v>
      </c>
      <c r="G5" s="67" t="s">
        <v>124</v>
      </c>
      <c r="H5" s="67" t="s">
        <v>137</v>
      </c>
      <c r="I5" s="67" t="s">
        <v>124</v>
      </c>
      <c r="J5" s="67" t="s">
        <v>124</v>
      </c>
      <c r="K5" s="68"/>
      <c r="L5" s="69"/>
      <c r="M5" s="70">
        <v>30000</v>
      </c>
      <c r="N5" s="71"/>
      <c r="O5" s="72"/>
      <c r="P5" s="62" t="s">
        <v>128</v>
      </c>
    </row>
    <row r="6" spans="1:16" ht="30" customHeight="1">
      <c r="A6" s="63"/>
      <c r="B6" s="64" t="s">
        <v>134</v>
      </c>
      <c r="C6" s="65"/>
      <c r="D6" s="65" t="s">
        <v>138</v>
      </c>
      <c r="E6" s="66" t="s">
        <v>139</v>
      </c>
      <c r="F6" s="67" t="s">
        <v>136</v>
      </c>
      <c r="G6" s="67" t="s">
        <v>153</v>
      </c>
      <c r="H6" s="67" t="s">
        <v>156</v>
      </c>
      <c r="I6" s="67" t="s">
        <v>124</v>
      </c>
      <c r="J6" s="67" t="s">
        <v>126</v>
      </c>
      <c r="K6" s="68"/>
      <c r="L6" s="69"/>
      <c r="M6" s="70"/>
      <c r="N6" s="71" t="s">
        <v>819</v>
      </c>
      <c r="O6" s="72" t="s">
        <v>140</v>
      </c>
      <c r="P6" s="62" t="s">
        <v>128</v>
      </c>
    </row>
    <row r="7" spans="1:16" ht="30" customHeight="1">
      <c r="A7" s="63"/>
      <c r="B7" s="64" t="s">
        <v>141</v>
      </c>
      <c r="C7" s="65"/>
      <c r="D7" s="65" t="s">
        <v>131</v>
      </c>
      <c r="E7" s="66" t="s">
        <v>142</v>
      </c>
      <c r="F7" s="67" t="s">
        <v>123</v>
      </c>
      <c r="G7" s="67" t="s">
        <v>124</v>
      </c>
      <c r="H7" s="67" t="s">
        <v>125</v>
      </c>
      <c r="I7" s="67" t="s">
        <v>124</v>
      </c>
      <c r="J7" s="67" t="s">
        <v>126</v>
      </c>
      <c r="K7" s="70" t="s">
        <v>858</v>
      </c>
      <c r="L7" s="69"/>
      <c r="M7" s="70" t="s">
        <v>143</v>
      </c>
      <c r="N7" s="71"/>
      <c r="O7" s="72"/>
      <c r="P7" s="62" t="s">
        <v>128</v>
      </c>
    </row>
    <row r="8" spans="1:16" ht="30" customHeight="1">
      <c r="A8" s="63"/>
      <c r="B8" s="64" t="s">
        <v>144</v>
      </c>
      <c r="C8" s="65"/>
      <c r="D8" s="65" t="s">
        <v>138</v>
      </c>
      <c r="E8" s="66" t="s">
        <v>102</v>
      </c>
      <c r="F8" s="67" t="s">
        <v>136</v>
      </c>
      <c r="G8" s="67" t="s">
        <v>124</v>
      </c>
      <c r="H8" s="67" t="s">
        <v>137</v>
      </c>
      <c r="I8" s="67" t="s">
        <v>124</v>
      </c>
      <c r="J8" s="67" t="s">
        <v>124</v>
      </c>
      <c r="K8" s="68"/>
      <c r="L8" s="69"/>
      <c r="M8" s="70"/>
      <c r="N8" s="71"/>
      <c r="O8" s="72" t="s">
        <v>145</v>
      </c>
      <c r="P8" s="62" t="s">
        <v>128</v>
      </c>
    </row>
    <row r="9" spans="1:16" ht="30" customHeight="1">
      <c r="A9" s="63"/>
      <c r="B9" s="64" t="s">
        <v>146</v>
      </c>
      <c r="C9" s="65"/>
      <c r="D9" s="65" t="s">
        <v>121</v>
      </c>
      <c r="E9" s="66" t="s">
        <v>147</v>
      </c>
      <c r="F9" s="67" t="s">
        <v>123</v>
      </c>
      <c r="G9" s="67" t="s">
        <v>124</v>
      </c>
      <c r="H9" s="67" t="s">
        <v>125</v>
      </c>
      <c r="I9" s="67" t="s">
        <v>124</v>
      </c>
      <c r="J9" s="67" t="s">
        <v>126</v>
      </c>
      <c r="K9" s="68"/>
      <c r="L9" s="69"/>
      <c r="M9" s="70"/>
      <c r="N9" s="71"/>
      <c r="O9" s="72" t="s">
        <v>148</v>
      </c>
      <c r="P9" s="62" t="s">
        <v>128</v>
      </c>
    </row>
    <row r="10" spans="1:16" ht="30" customHeight="1">
      <c r="A10" s="63"/>
      <c r="B10" s="64" t="s">
        <v>149</v>
      </c>
      <c r="C10" s="65"/>
      <c r="D10" s="65" t="s">
        <v>121</v>
      </c>
      <c r="E10" s="66" t="s">
        <v>150</v>
      </c>
      <c r="F10" s="67" t="s">
        <v>123</v>
      </c>
      <c r="G10" s="67" t="s">
        <v>124</v>
      </c>
      <c r="H10" s="67" t="s">
        <v>125</v>
      </c>
      <c r="I10" s="67" t="s">
        <v>124</v>
      </c>
      <c r="J10" s="67" t="s">
        <v>126</v>
      </c>
      <c r="K10" s="68"/>
      <c r="L10" s="69"/>
      <c r="M10" s="70"/>
      <c r="N10" s="71"/>
      <c r="O10" s="72"/>
      <c r="P10" s="62" t="s">
        <v>128</v>
      </c>
    </row>
    <row r="11" spans="1:16" ht="30" customHeight="1">
      <c r="A11" s="63"/>
      <c r="B11" s="64" t="s">
        <v>151</v>
      </c>
      <c r="C11" s="65"/>
      <c r="D11" s="65" t="s">
        <v>121</v>
      </c>
      <c r="E11" s="66" t="s">
        <v>152</v>
      </c>
      <c r="F11" s="67" t="s">
        <v>136</v>
      </c>
      <c r="G11" s="67" t="s">
        <v>153</v>
      </c>
      <c r="H11" s="67" t="s">
        <v>125</v>
      </c>
      <c r="I11" s="67" t="s">
        <v>124</v>
      </c>
      <c r="J11" s="67" t="s">
        <v>126</v>
      </c>
      <c r="K11" s="68"/>
      <c r="L11" s="69"/>
      <c r="M11" s="70"/>
      <c r="N11" s="73" t="s">
        <v>820</v>
      </c>
      <c r="O11" s="72"/>
      <c r="P11" s="62" t="s">
        <v>128</v>
      </c>
    </row>
    <row r="12" spans="1:16" ht="30" customHeight="1">
      <c r="A12" s="63"/>
      <c r="B12" s="64" t="s">
        <v>154</v>
      </c>
      <c r="C12" s="65"/>
      <c r="D12" s="65" t="s">
        <v>121</v>
      </c>
      <c r="E12" s="66" t="s">
        <v>155</v>
      </c>
      <c r="F12" s="67" t="s">
        <v>136</v>
      </c>
      <c r="G12" s="67" t="s">
        <v>153</v>
      </c>
      <c r="H12" s="67" t="s">
        <v>156</v>
      </c>
      <c r="I12" s="67" t="s">
        <v>124</v>
      </c>
      <c r="J12" s="67" t="s">
        <v>126</v>
      </c>
      <c r="K12" s="68"/>
      <c r="L12" s="69"/>
      <c r="M12" s="70"/>
      <c r="N12" s="73" t="s">
        <v>820</v>
      </c>
      <c r="O12" s="72" t="s">
        <v>157</v>
      </c>
      <c r="P12" s="62" t="s">
        <v>128</v>
      </c>
    </row>
    <row r="13" spans="1:16" ht="30" customHeight="1">
      <c r="A13" s="63"/>
      <c r="B13" s="64" t="s">
        <v>158</v>
      </c>
      <c r="C13" s="65"/>
      <c r="D13" s="65" t="s">
        <v>131</v>
      </c>
      <c r="E13" s="66" t="s">
        <v>159</v>
      </c>
      <c r="F13" s="67" t="s">
        <v>136</v>
      </c>
      <c r="G13" s="67" t="s">
        <v>124</v>
      </c>
      <c r="H13" s="67" t="s">
        <v>156</v>
      </c>
      <c r="I13" s="67" t="s">
        <v>124</v>
      </c>
      <c r="J13" s="67" t="s">
        <v>126</v>
      </c>
      <c r="K13" s="68"/>
      <c r="L13" s="69"/>
      <c r="M13" s="70" t="s">
        <v>160</v>
      </c>
      <c r="N13" s="71"/>
      <c r="O13" s="72"/>
      <c r="P13" s="62" t="s">
        <v>128</v>
      </c>
    </row>
    <row r="14" spans="1:16" ht="30" customHeight="1">
      <c r="A14" s="63"/>
      <c r="B14" s="64" t="s">
        <v>1658</v>
      </c>
      <c r="C14" s="65"/>
      <c r="D14" s="65" t="s">
        <v>131</v>
      </c>
      <c r="E14" s="66" t="s">
        <v>161</v>
      </c>
      <c r="F14" s="67" t="s">
        <v>136</v>
      </c>
      <c r="G14" s="67" t="s">
        <v>153</v>
      </c>
      <c r="H14" s="67" t="s">
        <v>156</v>
      </c>
      <c r="I14" s="67" t="s">
        <v>124</v>
      </c>
      <c r="J14" s="67" t="s">
        <v>126</v>
      </c>
      <c r="K14" s="68"/>
      <c r="L14" s="69"/>
      <c r="M14" s="70"/>
      <c r="N14" s="66" t="s">
        <v>821</v>
      </c>
      <c r="O14" s="72" t="s">
        <v>162</v>
      </c>
      <c r="P14" s="62" t="s">
        <v>128</v>
      </c>
    </row>
    <row r="15" spans="1:16" ht="30" customHeight="1">
      <c r="A15" s="63"/>
      <c r="B15" s="64" t="s">
        <v>1659</v>
      </c>
      <c r="C15" s="65"/>
      <c r="D15" s="65" t="s">
        <v>121</v>
      </c>
      <c r="E15" s="66" t="s">
        <v>163</v>
      </c>
      <c r="F15" s="67" t="s">
        <v>136</v>
      </c>
      <c r="G15" s="67" t="s">
        <v>153</v>
      </c>
      <c r="H15" s="67" t="s">
        <v>156</v>
      </c>
      <c r="I15" s="67" t="s">
        <v>124</v>
      </c>
      <c r="J15" s="67" t="s">
        <v>126</v>
      </c>
      <c r="K15" s="68"/>
      <c r="L15" s="69"/>
      <c r="M15" s="70"/>
      <c r="N15" s="66" t="s">
        <v>821</v>
      </c>
      <c r="O15" s="72" t="s">
        <v>164</v>
      </c>
      <c r="P15" s="62" t="s">
        <v>128</v>
      </c>
    </row>
    <row r="16" spans="1:16" ht="30" customHeight="1">
      <c r="A16" s="63"/>
      <c r="B16" s="64" t="s">
        <v>165</v>
      </c>
      <c r="C16" s="65"/>
      <c r="D16" s="65" t="s">
        <v>131</v>
      </c>
      <c r="E16" s="66" t="s">
        <v>100</v>
      </c>
      <c r="F16" s="67" t="s">
        <v>123</v>
      </c>
      <c r="G16" s="67" t="s">
        <v>153</v>
      </c>
      <c r="H16" s="67" t="s">
        <v>125</v>
      </c>
      <c r="I16" s="67" t="s">
        <v>124</v>
      </c>
      <c r="J16" s="67" t="s">
        <v>126</v>
      </c>
      <c r="K16" s="68"/>
      <c r="L16" s="69"/>
      <c r="M16" s="70"/>
      <c r="N16" s="74" t="s">
        <v>822</v>
      </c>
      <c r="O16" s="72"/>
      <c r="P16" s="62" t="s">
        <v>128</v>
      </c>
    </row>
    <row r="17" spans="1:16" ht="30" customHeight="1">
      <c r="A17" s="63"/>
      <c r="B17" s="64" t="s">
        <v>166</v>
      </c>
      <c r="C17" s="65"/>
      <c r="D17" s="65" t="s">
        <v>121</v>
      </c>
      <c r="E17" s="66" t="s">
        <v>167</v>
      </c>
      <c r="F17" s="67" t="s">
        <v>123</v>
      </c>
      <c r="G17" s="67" t="s">
        <v>124</v>
      </c>
      <c r="H17" s="67" t="s">
        <v>125</v>
      </c>
      <c r="I17" s="67" t="s">
        <v>124</v>
      </c>
      <c r="J17" s="67" t="s">
        <v>126</v>
      </c>
      <c r="K17" s="75" t="s">
        <v>858</v>
      </c>
      <c r="L17" s="69"/>
      <c r="M17" s="70"/>
      <c r="N17" s="71"/>
      <c r="O17" s="72"/>
      <c r="P17" s="62" t="s">
        <v>128</v>
      </c>
    </row>
    <row r="18" spans="1:16" ht="30" customHeight="1">
      <c r="A18" s="63"/>
      <c r="B18" s="64" t="s">
        <v>1660</v>
      </c>
      <c r="C18" s="65"/>
      <c r="D18" s="65" t="s">
        <v>1661</v>
      </c>
      <c r="E18" s="66" t="s">
        <v>1662</v>
      </c>
      <c r="F18" s="67" t="s">
        <v>123</v>
      </c>
      <c r="G18" s="67" t="s">
        <v>124</v>
      </c>
      <c r="H18" s="67" t="s">
        <v>125</v>
      </c>
      <c r="I18" s="67" t="s">
        <v>124</v>
      </c>
      <c r="J18" s="67" t="s">
        <v>126</v>
      </c>
      <c r="K18" s="68"/>
      <c r="L18" s="69"/>
      <c r="M18" s="70"/>
      <c r="N18" s="71"/>
      <c r="O18" s="72" t="s">
        <v>124</v>
      </c>
    </row>
    <row r="19" spans="1:16" ht="30" customHeight="1">
      <c r="A19" s="76"/>
      <c r="B19" s="64" t="s">
        <v>168</v>
      </c>
      <c r="C19" s="65"/>
      <c r="D19" s="65" t="s">
        <v>121</v>
      </c>
      <c r="E19" s="66" t="s">
        <v>169</v>
      </c>
      <c r="F19" s="67" t="s">
        <v>123</v>
      </c>
      <c r="G19" s="67" t="s">
        <v>126</v>
      </c>
      <c r="H19" s="67" t="s">
        <v>156</v>
      </c>
      <c r="I19" s="67" t="s">
        <v>124</v>
      </c>
      <c r="J19" s="67" t="s">
        <v>126</v>
      </c>
      <c r="K19" s="68"/>
      <c r="L19" s="69"/>
      <c r="M19" s="70"/>
      <c r="N19" s="71"/>
      <c r="O19" s="72"/>
      <c r="P19" s="62" t="s">
        <v>128</v>
      </c>
    </row>
    <row r="20" spans="1:16" ht="30" customHeight="1">
      <c r="A20" s="63"/>
      <c r="B20" s="64" t="s">
        <v>170</v>
      </c>
      <c r="C20" s="65"/>
      <c r="D20" s="65" t="s">
        <v>121</v>
      </c>
      <c r="E20" s="66" t="s">
        <v>171</v>
      </c>
      <c r="F20" s="67" t="s">
        <v>123</v>
      </c>
      <c r="G20" s="67" t="s">
        <v>153</v>
      </c>
      <c r="H20" s="67" t="s">
        <v>137</v>
      </c>
      <c r="I20" s="67" t="s">
        <v>124</v>
      </c>
      <c r="J20" s="67" t="s">
        <v>126</v>
      </c>
      <c r="K20" s="68"/>
      <c r="L20" s="69"/>
      <c r="M20" s="70">
        <v>60000</v>
      </c>
      <c r="N20" s="71" t="s">
        <v>823</v>
      </c>
      <c r="O20" s="72"/>
      <c r="P20" s="62" t="s">
        <v>128</v>
      </c>
    </row>
    <row r="21" spans="1:16" ht="30" customHeight="1">
      <c r="A21" s="77"/>
      <c r="B21" s="65" t="s">
        <v>824</v>
      </c>
      <c r="C21" s="65"/>
      <c r="D21" s="65" t="s">
        <v>138</v>
      </c>
      <c r="E21" s="71" t="s">
        <v>172</v>
      </c>
      <c r="F21" s="67" t="s">
        <v>123</v>
      </c>
      <c r="G21" s="67" t="s">
        <v>124</v>
      </c>
      <c r="H21" s="67" t="s">
        <v>137</v>
      </c>
      <c r="I21" s="67" t="s">
        <v>124</v>
      </c>
      <c r="J21" s="67" t="s">
        <v>124</v>
      </c>
      <c r="K21" s="68"/>
      <c r="L21" s="69"/>
      <c r="M21" s="70"/>
      <c r="N21" s="71"/>
      <c r="O21" s="71" t="s">
        <v>173</v>
      </c>
      <c r="P21" s="62" t="s">
        <v>174</v>
      </c>
    </row>
    <row r="22" spans="1:16" ht="30" customHeight="1">
      <c r="A22" s="63"/>
      <c r="B22" s="65" t="s">
        <v>825</v>
      </c>
      <c r="C22" s="65"/>
      <c r="D22" s="65" t="s">
        <v>138</v>
      </c>
      <c r="E22" s="71" t="s">
        <v>175</v>
      </c>
      <c r="F22" s="67" t="s">
        <v>123</v>
      </c>
      <c r="G22" s="67" t="s">
        <v>124</v>
      </c>
      <c r="H22" s="67" t="s">
        <v>137</v>
      </c>
      <c r="I22" s="67" t="s">
        <v>124</v>
      </c>
      <c r="J22" s="67" t="s">
        <v>124</v>
      </c>
      <c r="K22" s="68"/>
      <c r="L22" s="69"/>
      <c r="M22" s="70"/>
      <c r="N22" s="71"/>
      <c r="O22" s="71" t="s">
        <v>176</v>
      </c>
      <c r="P22" s="62" t="s">
        <v>174</v>
      </c>
    </row>
    <row r="23" spans="1:16" ht="30" customHeight="1">
      <c r="A23" s="63"/>
      <c r="B23" s="65" t="s">
        <v>826</v>
      </c>
      <c r="C23" s="65"/>
      <c r="D23" s="65" t="s">
        <v>177</v>
      </c>
      <c r="E23" s="71" t="s">
        <v>105</v>
      </c>
      <c r="F23" s="67" t="s">
        <v>136</v>
      </c>
      <c r="G23" s="67" t="s">
        <v>124</v>
      </c>
      <c r="H23" s="67" t="s">
        <v>137</v>
      </c>
      <c r="I23" s="67" t="s">
        <v>124</v>
      </c>
      <c r="J23" s="67" t="s">
        <v>124</v>
      </c>
      <c r="K23" s="68"/>
      <c r="L23" s="69"/>
      <c r="M23" s="70"/>
      <c r="N23" s="71"/>
      <c r="O23" s="71" t="s">
        <v>178</v>
      </c>
      <c r="P23" s="62" t="s">
        <v>128</v>
      </c>
    </row>
    <row r="24" spans="1:16" ht="30" customHeight="1">
      <c r="A24" s="63"/>
      <c r="B24" s="78" t="s">
        <v>827</v>
      </c>
      <c r="C24" s="65"/>
      <c r="D24" s="65" t="s">
        <v>138</v>
      </c>
      <c r="E24" s="79" t="s">
        <v>97</v>
      </c>
      <c r="F24" s="67" t="s">
        <v>136</v>
      </c>
      <c r="G24" s="67" t="s">
        <v>124</v>
      </c>
      <c r="H24" s="67" t="s">
        <v>156</v>
      </c>
      <c r="I24" s="67" t="s">
        <v>124</v>
      </c>
      <c r="J24" s="67" t="s">
        <v>126</v>
      </c>
      <c r="K24" s="68"/>
      <c r="L24" s="69"/>
      <c r="M24" s="70"/>
      <c r="N24" s="71"/>
      <c r="O24" s="79" t="s">
        <v>179</v>
      </c>
      <c r="P24" s="62" t="s">
        <v>128</v>
      </c>
    </row>
    <row r="25" spans="1:16" ht="30" customHeight="1">
      <c r="A25" s="63"/>
      <c r="B25" s="78" t="s">
        <v>828</v>
      </c>
      <c r="C25" s="65"/>
      <c r="D25" s="65" t="s">
        <v>121</v>
      </c>
      <c r="E25" s="79" t="s">
        <v>98</v>
      </c>
      <c r="F25" s="67" t="s">
        <v>136</v>
      </c>
      <c r="G25" s="67" t="s">
        <v>124</v>
      </c>
      <c r="H25" s="67" t="s">
        <v>156</v>
      </c>
      <c r="I25" s="67" t="s">
        <v>124</v>
      </c>
      <c r="J25" s="67" t="s">
        <v>126</v>
      </c>
      <c r="K25" s="68"/>
      <c r="L25" s="69"/>
      <c r="M25" s="70"/>
      <c r="N25" s="71"/>
      <c r="O25" s="79" t="s">
        <v>180</v>
      </c>
      <c r="P25" s="62" t="s">
        <v>128</v>
      </c>
    </row>
    <row r="26" spans="1:16" ht="30" customHeight="1">
      <c r="A26" s="63"/>
      <c r="B26" s="78" t="s">
        <v>829</v>
      </c>
      <c r="C26" s="65"/>
      <c r="D26" s="65" t="s">
        <v>138</v>
      </c>
      <c r="E26" s="79" t="s">
        <v>101</v>
      </c>
      <c r="F26" s="67" t="s">
        <v>136</v>
      </c>
      <c r="G26" s="67" t="s">
        <v>124</v>
      </c>
      <c r="H26" s="67" t="s">
        <v>156</v>
      </c>
      <c r="I26" s="67" t="s">
        <v>124</v>
      </c>
      <c r="J26" s="67" t="s">
        <v>126</v>
      </c>
      <c r="K26" s="68"/>
      <c r="L26" s="69"/>
      <c r="M26" s="70"/>
      <c r="N26" s="71"/>
      <c r="O26" s="66" t="s">
        <v>989</v>
      </c>
      <c r="P26" s="80" t="s">
        <v>128</v>
      </c>
    </row>
    <row r="27" spans="1:16" ht="30" customHeight="1">
      <c r="A27" s="63"/>
      <c r="B27" s="78" t="s">
        <v>181</v>
      </c>
      <c r="C27" s="65"/>
      <c r="D27" s="65" t="s">
        <v>121</v>
      </c>
      <c r="E27" s="79" t="s">
        <v>182</v>
      </c>
      <c r="F27" s="67" t="s">
        <v>136</v>
      </c>
      <c r="G27" s="67" t="s">
        <v>153</v>
      </c>
      <c r="H27" s="67" t="s">
        <v>156</v>
      </c>
      <c r="I27" s="67" t="s">
        <v>124</v>
      </c>
      <c r="J27" s="67" t="s">
        <v>126</v>
      </c>
      <c r="K27" s="68"/>
      <c r="L27" s="69"/>
      <c r="M27" s="70"/>
      <c r="N27" s="73" t="s">
        <v>830</v>
      </c>
      <c r="O27" s="71" t="s">
        <v>183</v>
      </c>
      <c r="P27" s="62" t="s">
        <v>128</v>
      </c>
    </row>
    <row r="28" spans="1:16" ht="30" customHeight="1">
      <c r="A28" s="63"/>
      <c r="B28" s="64" t="s">
        <v>184</v>
      </c>
      <c r="C28" s="65"/>
      <c r="D28" s="65" t="s">
        <v>131</v>
      </c>
      <c r="E28" s="79" t="s">
        <v>185</v>
      </c>
      <c r="F28" s="67" t="s">
        <v>136</v>
      </c>
      <c r="G28" s="67" t="s">
        <v>153</v>
      </c>
      <c r="H28" s="67" t="s">
        <v>156</v>
      </c>
      <c r="I28" s="67" t="s">
        <v>124</v>
      </c>
      <c r="J28" s="67" t="s">
        <v>126</v>
      </c>
      <c r="K28" s="68"/>
      <c r="L28" s="69"/>
      <c r="M28" s="70"/>
      <c r="N28" s="73" t="s">
        <v>830</v>
      </c>
      <c r="O28" s="71" t="s">
        <v>186</v>
      </c>
      <c r="P28" s="62" t="s">
        <v>128</v>
      </c>
    </row>
    <row r="29" spans="1:16" ht="30" customHeight="1">
      <c r="A29" s="63"/>
      <c r="B29" s="81" t="s">
        <v>187</v>
      </c>
      <c r="C29" s="65"/>
      <c r="D29" s="65" t="s">
        <v>138</v>
      </c>
      <c r="E29" s="79" t="s">
        <v>188</v>
      </c>
      <c r="F29" s="67" t="s">
        <v>136</v>
      </c>
      <c r="G29" s="67" t="s">
        <v>153</v>
      </c>
      <c r="H29" s="67" t="s">
        <v>156</v>
      </c>
      <c r="I29" s="67" t="s">
        <v>124</v>
      </c>
      <c r="J29" s="67" t="s">
        <v>126</v>
      </c>
      <c r="K29" s="68"/>
      <c r="L29" s="69"/>
      <c r="M29" s="70"/>
      <c r="N29" s="73" t="s">
        <v>830</v>
      </c>
      <c r="O29" s="82" t="s">
        <v>189</v>
      </c>
      <c r="P29" s="62" t="s">
        <v>128</v>
      </c>
    </row>
    <row r="30" spans="1:16" ht="30" customHeight="1">
      <c r="A30" s="63"/>
      <c r="B30" s="81" t="s">
        <v>190</v>
      </c>
      <c r="C30" s="65"/>
      <c r="D30" s="65" t="s">
        <v>121</v>
      </c>
      <c r="E30" s="79" t="s">
        <v>191</v>
      </c>
      <c r="F30" s="67" t="s">
        <v>136</v>
      </c>
      <c r="G30" s="67" t="s">
        <v>153</v>
      </c>
      <c r="H30" s="67" t="s">
        <v>125</v>
      </c>
      <c r="I30" s="67" t="s">
        <v>124</v>
      </c>
      <c r="J30" s="67" t="s">
        <v>126</v>
      </c>
      <c r="K30" s="83"/>
      <c r="L30" s="69"/>
      <c r="M30" s="70"/>
      <c r="N30" s="73" t="s">
        <v>831</v>
      </c>
      <c r="O30" s="79" t="s">
        <v>192</v>
      </c>
      <c r="P30" s="62" t="s">
        <v>128</v>
      </c>
    </row>
    <row r="31" spans="1:16" ht="30" customHeight="1">
      <c r="A31" s="63"/>
      <c r="B31" s="64" t="s">
        <v>193</v>
      </c>
      <c r="C31" s="65"/>
      <c r="D31" s="65" t="s">
        <v>131</v>
      </c>
      <c r="E31" s="71" t="s">
        <v>194</v>
      </c>
      <c r="F31" s="67" t="s">
        <v>123</v>
      </c>
      <c r="G31" s="67" t="s">
        <v>124</v>
      </c>
      <c r="H31" s="67" t="s">
        <v>125</v>
      </c>
      <c r="I31" s="67" t="s">
        <v>124</v>
      </c>
      <c r="J31" s="67" t="s">
        <v>126</v>
      </c>
      <c r="K31" s="83"/>
      <c r="L31" s="69"/>
      <c r="M31" s="70" t="s">
        <v>195</v>
      </c>
      <c r="N31" s="71"/>
      <c r="O31" s="84"/>
      <c r="P31" s="62" t="s">
        <v>128</v>
      </c>
    </row>
    <row r="32" spans="1:16" ht="30" customHeight="1">
      <c r="A32" s="63"/>
      <c r="B32" s="64" t="s">
        <v>1551</v>
      </c>
      <c r="C32" s="65"/>
      <c r="D32" s="65"/>
      <c r="E32" s="71" t="s">
        <v>1552</v>
      </c>
      <c r="F32" s="67" t="s">
        <v>123</v>
      </c>
      <c r="G32" s="67" t="s">
        <v>124</v>
      </c>
      <c r="H32" s="67" t="s">
        <v>125</v>
      </c>
      <c r="I32" s="67" t="s">
        <v>124</v>
      </c>
      <c r="J32" s="67" t="s">
        <v>126</v>
      </c>
      <c r="K32" s="83"/>
      <c r="L32" s="69"/>
      <c r="M32" s="70"/>
      <c r="N32" s="71"/>
      <c r="O32" s="84"/>
      <c r="P32" s="62" t="s">
        <v>128</v>
      </c>
    </row>
    <row r="33" spans="1:16" ht="30" customHeight="1">
      <c r="A33" s="63"/>
      <c r="B33" s="64" t="s">
        <v>196</v>
      </c>
      <c r="C33" s="65"/>
      <c r="D33" s="65" t="s">
        <v>131</v>
      </c>
      <c r="E33" s="71" t="s">
        <v>197</v>
      </c>
      <c r="F33" s="67" t="s">
        <v>123</v>
      </c>
      <c r="G33" s="67" t="s">
        <v>124</v>
      </c>
      <c r="H33" s="67" t="s">
        <v>156</v>
      </c>
      <c r="I33" s="67" t="s">
        <v>124</v>
      </c>
      <c r="J33" s="67" t="s">
        <v>126</v>
      </c>
      <c r="K33" s="83"/>
      <c r="L33" s="69"/>
      <c r="M33" s="70"/>
      <c r="N33" s="71"/>
      <c r="O33" s="85"/>
      <c r="P33" s="62" t="s">
        <v>128</v>
      </c>
    </row>
    <row r="34" spans="1:16" ht="30" customHeight="1">
      <c r="A34" s="76"/>
      <c r="B34" s="65" t="s">
        <v>198</v>
      </c>
      <c r="C34" s="65"/>
      <c r="D34" s="65"/>
      <c r="E34" s="71" t="s">
        <v>199</v>
      </c>
      <c r="F34" s="67" t="s">
        <v>200</v>
      </c>
      <c r="G34" s="67" t="s">
        <v>124</v>
      </c>
      <c r="H34" s="67" t="s">
        <v>156</v>
      </c>
      <c r="I34" s="67" t="s">
        <v>124</v>
      </c>
      <c r="J34" s="67" t="s">
        <v>126</v>
      </c>
      <c r="K34" s="68"/>
      <c r="L34" s="69"/>
      <c r="M34" s="70" t="s">
        <v>195</v>
      </c>
      <c r="N34" s="71"/>
      <c r="O34" s="71"/>
      <c r="P34" s="62" t="s">
        <v>128</v>
      </c>
    </row>
    <row r="35" spans="1:16" ht="30" customHeight="1">
      <c r="A35" s="76"/>
      <c r="B35" s="65" t="s">
        <v>1553</v>
      </c>
      <c r="C35" s="65"/>
      <c r="D35" s="65"/>
      <c r="E35" s="71" t="s">
        <v>1554</v>
      </c>
      <c r="F35" s="67" t="s">
        <v>200</v>
      </c>
      <c r="G35" s="67" t="s">
        <v>153</v>
      </c>
      <c r="H35" s="67" t="s">
        <v>156</v>
      </c>
      <c r="I35" s="67" t="s">
        <v>124</v>
      </c>
      <c r="J35" s="67" t="s">
        <v>126</v>
      </c>
      <c r="K35" s="75" t="s">
        <v>1555</v>
      </c>
      <c r="L35" s="69"/>
      <c r="M35" s="70"/>
      <c r="N35" s="71" t="s">
        <v>1556</v>
      </c>
      <c r="O35" s="66" t="s">
        <v>1557</v>
      </c>
      <c r="P35" s="62" t="s">
        <v>174</v>
      </c>
    </row>
    <row r="36" spans="1:16" ht="30" customHeight="1">
      <c r="A36" s="76"/>
      <c r="B36" s="65" t="s">
        <v>1663</v>
      </c>
      <c r="C36" s="65"/>
      <c r="D36" s="65"/>
      <c r="E36" s="71" t="s">
        <v>1664</v>
      </c>
      <c r="F36" s="67" t="s">
        <v>200</v>
      </c>
      <c r="G36" s="67" t="s">
        <v>153</v>
      </c>
      <c r="H36" s="67" t="s">
        <v>156</v>
      </c>
      <c r="I36" s="67" t="s">
        <v>124</v>
      </c>
      <c r="J36" s="67" t="s">
        <v>124</v>
      </c>
      <c r="K36" s="75" t="s">
        <v>981</v>
      </c>
      <c r="L36" s="69"/>
      <c r="M36" s="70"/>
      <c r="N36" s="71" t="s">
        <v>1665</v>
      </c>
      <c r="O36" s="66" t="s">
        <v>1666</v>
      </c>
      <c r="P36" s="62" t="s">
        <v>174</v>
      </c>
    </row>
    <row r="37" spans="1:16" ht="30" customHeight="1">
      <c r="A37" s="76"/>
      <c r="B37" s="65" t="s">
        <v>832</v>
      </c>
      <c r="C37" s="65"/>
      <c r="D37" s="65"/>
      <c r="E37" s="71" t="s">
        <v>201</v>
      </c>
      <c r="F37" s="67" t="s">
        <v>136</v>
      </c>
      <c r="G37" s="67" t="s">
        <v>124</v>
      </c>
      <c r="H37" s="67" t="s">
        <v>156</v>
      </c>
      <c r="I37" s="67" t="s">
        <v>124</v>
      </c>
      <c r="J37" s="67" t="s">
        <v>124</v>
      </c>
      <c r="K37" s="68"/>
      <c r="L37" s="69"/>
      <c r="M37" s="70">
        <v>30000</v>
      </c>
      <c r="N37" s="71"/>
      <c r="O37" s="71"/>
    </row>
    <row r="38" spans="1:16" ht="30" customHeight="1">
      <c r="A38" s="76"/>
      <c r="B38" s="65" t="s">
        <v>832</v>
      </c>
      <c r="C38" s="65"/>
      <c r="D38" s="65"/>
      <c r="E38" s="71" t="s">
        <v>202</v>
      </c>
      <c r="F38" s="67" t="s">
        <v>136</v>
      </c>
      <c r="G38" s="67" t="s">
        <v>124</v>
      </c>
      <c r="H38" s="67" t="s">
        <v>156</v>
      </c>
      <c r="I38" s="67" t="s">
        <v>124</v>
      </c>
      <c r="J38" s="67" t="s">
        <v>124</v>
      </c>
      <c r="K38" s="83"/>
      <c r="L38" s="69"/>
      <c r="M38" s="70"/>
      <c r="N38" s="71"/>
      <c r="O38" s="84"/>
      <c r="P38" s="62" t="s">
        <v>128</v>
      </c>
    </row>
    <row r="39" spans="1:16" ht="30" customHeight="1">
      <c r="A39" s="76"/>
      <c r="B39" s="65" t="s">
        <v>832</v>
      </c>
      <c r="C39" s="65"/>
      <c r="D39" s="65"/>
      <c r="E39" s="71" t="s">
        <v>203</v>
      </c>
      <c r="F39" s="67" t="s">
        <v>136</v>
      </c>
      <c r="G39" s="67" t="s">
        <v>124</v>
      </c>
      <c r="H39" s="67" t="s">
        <v>156</v>
      </c>
      <c r="I39" s="67" t="s">
        <v>124</v>
      </c>
      <c r="J39" s="67" t="s">
        <v>124</v>
      </c>
      <c r="K39" s="83"/>
      <c r="L39" s="69"/>
      <c r="M39" s="70"/>
      <c r="N39" s="71"/>
      <c r="O39" s="84"/>
    </row>
    <row r="40" spans="1:16" ht="30" customHeight="1">
      <c r="A40" s="76"/>
      <c r="B40" s="65" t="s">
        <v>832</v>
      </c>
      <c r="C40" s="65"/>
      <c r="D40" s="65"/>
      <c r="E40" s="71" t="s">
        <v>204</v>
      </c>
      <c r="F40" s="67" t="s">
        <v>136</v>
      </c>
      <c r="G40" s="67" t="s">
        <v>124</v>
      </c>
      <c r="H40" s="67" t="s">
        <v>156</v>
      </c>
      <c r="I40" s="67" t="s">
        <v>124</v>
      </c>
      <c r="J40" s="67" t="s">
        <v>124</v>
      </c>
      <c r="K40" s="83"/>
      <c r="L40" s="69"/>
      <c r="M40" s="70"/>
      <c r="N40" s="71"/>
      <c r="O40" s="84"/>
    </row>
    <row r="41" spans="1:16" ht="30" customHeight="1">
      <c r="A41" s="76"/>
      <c r="B41" s="65" t="s">
        <v>832</v>
      </c>
      <c r="C41" s="65"/>
      <c r="D41" s="65"/>
      <c r="E41" s="71" t="s">
        <v>205</v>
      </c>
      <c r="F41" s="67" t="s">
        <v>136</v>
      </c>
      <c r="G41" s="67" t="s">
        <v>124</v>
      </c>
      <c r="H41" s="67" t="s">
        <v>156</v>
      </c>
      <c r="I41" s="67" t="s">
        <v>124</v>
      </c>
      <c r="J41" s="67" t="s">
        <v>124</v>
      </c>
      <c r="K41" s="83"/>
      <c r="L41" s="69"/>
      <c r="M41" s="70"/>
      <c r="N41" s="71"/>
      <c r="O41" s="84"/>
    </row>
    <row r="42" spans="1:16" ht="30" customHeight="1">
      <c r="A42" s="76"/>
      <c r="B42" s="65" t="s">
        <v>832</v>
      </c>
      <c r="C42" s="65"/>
      <c r="D42" s="65"/>
      <c r="E42" s="71" t="s">
        <v>206</v>
      </c>
      <c r="F42" s="67" t="s">
        <v>136</v>
      </c>
      <c r="G42" s="67" t="s">
        <v>124</v>
      </c>
      <c r="H42" s="67" t="s">
        <v>156</v>
      </c>
      <c r="I42" s="67" t="s">
        <v>124</v>
      </c>
      <c r="J42" s="67" t="s">
        <v>124</v>
      </c>
      <c r="K42" s="83"/>
      <c r="L42" s="69"/>
      <c r="M42" s="70"/>
      <c r="N42" s="71"/>
      <c r="O42" s="84"/>
    </row>
    <row r="43" spans="1:16" ht="30" customHeight="1">
      <c r="A43" s="76"/>
      <c r="B43" s="65" t="s">
        <v>207</v>
      </c>
      <c r="C43" s="65"/>
      <c r="D43" s="65"/>
      <c r="E43" s="71" t="s">
        <v>208</v>
      </c>
      <c r="F43" s="67" t="s">
        <v>123</v>
      </c>
      <c r="G43" s="67" t="s">
        <v>124</v>
      </c>
      <c r="H43" s="67" t="s">
        <v>137</v>
      </c>
      <c r="I43" s="67" t="s">
        <v>124</v>
      </c>
      <c r="J43" s="67" t="s">
        <v>126</v>
      </c>
      <c r="K43" s="68"/>
      <c r="L43" s="69"/>
      <c r="M43" s="70"/>
      <c r="N43" s="71"/>
      <c r="O43" s="66" t="s">
        <v>209</v>
      </c>
      <c r="P43" s="62" t="s">
        <v>128</v>
      </c>
    </row>
    <row r="44" spans="1:16" ht="30" customHeight="1">
      <c r="A44" s="63"/>
      <c r="B44" s="64" t="s">
        <v>165</v>
      </c>
      <c r="C44" s="65"/>
      <c r="D44" s="65" t="s">
        <v>131</v>
      </c>
      <c r="E44" s="66" t="s">
        <v>304</v>
      </c>
      <c r="F44" s="67" t="s">
        <v>136</v>
      </c>
      <c r="G44" s="67" t="s">
        <v>153</v>
      </c>
      <c r="H44" s="67" t="s">
        <v>156</v>
      </c>
      <c r="I44" s="67" t="s">
        <v>124</v>
      </c>
      <c r="J44" s="67" t="s">
        <v>126</v>
      </c>
      <c r="K44" s="68"/>
      <c r="L44" s="69"/>
      <c r="M44" s="70"/>
      <c r="N44" s="74" t="s">
        <v>833</v>
      </c>
      <c r="O44" s="72"/>
      <c r="P44" s="62" t="s">
        <v>128</v>
      </c>
    </row>
    <row r="45" spans="1:16" ht="30" customHeight="1">
      <c r="A45" s="76"/>
      <c r="B45" s="86" t="s">
        <v>210</v>
      </c>
      <c r="C45" s="87"/>
      <c r="D45" s="87" t="s">
        <v>138</v>
      </c>
      <c r="E45" s="73" t="s">
        <v>26</v>
      </c>
      <c r="F45" s="88" t="s">
        <v>136</v>
      </c>
      <c r="G45" s="88" t="s">
        <v>153</v>
      </c>
      <c r="H45" s="88" t="s">
        <v>156</v>
      </c>
      <c r="I45" s="88" t="s">
        <v>124</v>
      </c>
      <c r="J45" s="88" t="s">
        <v>126</v>
      </c>
      <c r="K45" s="68"/>
      <c r="L45" s="69"/>
      <c r="M45" s="70"/>
      <c r="N45" s="73" t="s">
        <v>939</v>
      </c>
      <c r="O45" s="74" t="s">
        <v>940</v>
      </c>
      <c r="P45" s="62" t="s">
        <v>128</v>
      </c>
    </row>
    <row r="46" spans="1:16" ht="30" customHeight="1">
      <c r="A46" s="76"/>
      <c r="B46" s="86" t="s">
        <v>211</v>
      </c>
      <c r="C46" s="87"/>
      <c r="D46" s="87" t="s">
        <v>138</v>
      </c>
      <c r="E46" s="73" t="s">
        <v>106</v>
      </c>
      <c r="F46" s="88" t="s">
        <v>136</v>
      </c>
      <c r="G46" s="88" t="s">
        <v>153</v>
      </c>
      <c r="H46" s="88" t="s">
        <v>156</v>
      </c>
      <c r="I46" s="88" t="s">
        <v>124</v>
      </c>
      <c r="J46" s="88" t="s">
        <v>126</v>
      </c>
      <c r="K46" s="68"/>
      <c r="L46" s="69"/>
      <c r="M46" s="70"/>
      <c r="N46" s="74" t="s">
        <v>1558</v>
      </c>
      <c r="O46" s="74" t="s">
        <v>1559</v>
      </c>
      <c r="P46" s="62" t="s">
        <v>128</v>
      </c>
    </row>
    <row r="47" spans="1:16" ht="30" customHeight="1">
      <c r="A47" s="76"/>
      <c r="B47" s="86" t="s">
        <v>212</v>
      </c>
      <c r="C47" s="87"/>
      <c r="D47" s="87" t="s">
        <v>213</v>
      </c>
      <c r="E47" s="73" t="s">
        <v>107</v>
      </c>
      <c r="F47" s="88" t="s">
        <v>136</v>
      </c>
      <c r="G47" s="88" t="s">
        <v>153</v>
      </c>
      <c r="H47" s="88" t="s">
        <v>156</v>
      </c>
      <c r="I47" s="88" t="s">
        <v>124</v>
      </c>
      <c r="J47" s="88" t="s">
        <v>126</v>
      </c>
      <c r="K47" s="68"/>
      <c r="L47" s="69"/>
      <c r="M47" s="70"/>
      <c r="N47" s="74" t="s">
        <v>1558</v>
      </c>
      <c r="O47" s="74" t="s">
        <v>1560</v>
      </c>
      <c r="P47" s="62" t="s">
        <v>128</v>
      </c>
    </row>
    <row r="48" spans="1:16" ht="30" customHeight="1">
      <c r="A48" s="76"/>
      <c r="B48" s="86" t="s">
        <v>214</v>
      </c>
      <c r="C48" s="87"/>
      <c r="D48" s="87" t="s">
        <v>131</v>
      </c>
      <c r="E48" s="73" t="s">
        <v>108</v>
      </c>
      <c r="F48" s="88" t="s">
        <v>136</v>
      </c>
      <c r="G48" s="88" t="s">
        <v>153</v>
      </c>
      <c r="H48" s="88" t="s">
        <v>156</v>
      </c>
      <c r="I48" s="88" t="s">
        <v>124</v>
      </c>
      <c r="J48" s="88" t="s">
        <v>126</v>
      </c>
      <c r="K48" s="68"/>
      <c r="L48" s="69"/>
      <c r="M48" s="70"/>
      <c r="N48" s="74" t="s">
        <v>1558</v>
      </c>
      <c r="O48" s="74" t="s">
        <v>1561</v>
      </c>
      <c r="P48" s="62" t="s">
        <v>128</v>
      </c>
    </row>
    <row r="49" spans="1:16" ht="30" customHeight="1">
      <c r="A49" s="63"/>
      <c r="B49" s="86" t="s">
        <v>215</v>
      </c>
      <c r="C49" s="87"/>
      <c r="D49" s="87" t="s">
        <v>121</v>
      </c>
      <c r="E49" s="73" t="s">
        <v>216</v>
      </c>
      <c r="F49" s="88" t="s">
        <v>136</v>
      </c>
      <c r="G49" s="88" t="s">
        <v>124</v>
      </c>
      <c r="H49" s="88" t="s">
        <v>156</v>
      </c>
      <c r="I49" s="88" t="s">
        <v>124</v>
      </c>
      <c r="J49" s="88" t="s">
        <v>126</v>
      </c>
      <c r="K49" s="68"/>
      <c r="L49" s="69"/>
      <c r="M49" s="70"/>
      <c r="N49" s="89"/>
      <c r="O49" s="73" t="s">
        <v>217</v>
      </c>
      <c r="P49" s="62" t="s">
        <v>128</v>
      </c>
    </row>
    <row r="50" spans="1:16" ht="30" customHeight="1">
      <c r="A50" s="63"/>
      <c r="B50" s="86" t="s">
        <v>218</v>
      </c>
      <c r="C50" s="87"/>
      <c r="D50" s="87" t="s">
        <v>138</v>
      </c>
      <c r="E50" s="73" t="s">
        <v>219</v>
      </c>
      <c r="F50" s="88" t="s">
        <v>136</v>
      </c>
      <c r="G50" s="88" t="s">
        <v>124</v>
      </c>
      <c r="H50" s="88" t="s">
        <v>156</v>
      </c>
      <c r="I50" s="88" t="s">
        <v>124</v>
      </c>
      <c r="J50" s="88" t="s">
        <v>126</v>
      </c>
      <c r="K50" s="68"/>
      <c r="L50" s="69"/>
      <c r="M50" s="70"/>
      <c r="N50" s="89"/>
      <c r="O50" s="73" t="s">
        <v>220</v>
      </c>
      <c r="P50" s="62" t="s">
        <v>128</v>
      </c>
    </row>
    <row r="51" spans="1:16" ht="30" customHeight="1">
      <c r="A51" s="63"/>
      <c r="B51" s="86" t="s">
        <v>221</v>
      </c>
      <c r="C51" s="87"/>
      <c r="D51" s="87" t="s">
        <v>121</v>
      </c>
      <c r="E51" s="73" t="s">
        <v>109</v>
      </c>
      <c r="F51" s="88" t="s">
        <v>136</v>
      </c>
      <c r="G51" s="88" t="s">
        <v>153</v>
      </c>
      <c r="H51" s="88" t="s">
        <v>156</v>
      </c>
      <c r="I51" s="88" t="s">
        <v>124</v>
      </c>
      <c r="J51" s="88" t="s">
        <v>126</v>
      </c>
      <c r="K51" s="68"/>
      <c r="L51" s="69"/>
      <c r="M51" s="70"/>
      <c r="N51" s="71" t="s">
        <v>834</v>
      </c>
      <c r="O51" s="90" t="s">
        <v>835</v>
      </c>
      <c r="P51" s="62" t="s">
        <v>128</v>
      </c>
    </row>
    <row r="52" spans="1:16" ht="30" customHeight="1">
      <c r="A52" s="63"/>
      <c r="B52" s="86" t="s">
        <v>222</v>
      </c>
      <c r="C52" s="87"/>
      <c r="D52" s="87" t="s">
        <v>138</v>
      </c>
      <c r="E52" s="73" t="s">
        <v>110</v>
      </c>
      <c r="F52" s="88" t="s">
        <v>136</v>
      </c>
      <c r="G52" s="88" t="s">
        <v>153</v>
      </c>
      <c r="H52" s="88" t="s">
        <v>156</v>
      </c>
      <c r="I52" s="88" t="s">
        <v>124</v>
      </c>
      <c r="J52" s="88" t="s">
        <v>126</v>
      </c>
      <c r="K52" s="68"/>
      <c r="L52" s="69"/>
      <c r="M52" s="70"/>
      <c r="N52" s="71" t="s">
        <v>834</v>
      </c>
      <c r="O52" s="90"/>
      <c r="P52" s="62" t="s">
        <v>128</v>
      </c>
    </row>
    <row r="53" spans="1:16" ht="30" customHeight="1">
      <c r="A53" s="63"/>
      <c r="B53" s="86" t="s">
        <v>223</v>
      </c>
      <c r="C53" s="87"/>
      <c r="D53" s="87" t="s">
        <v>138</v>
      </c>
      <c r="E53" s="73" t="s">
        <v>99</v>
      </c>
      <c r="F53" s="88" t="s">
        <v>136</v>
      </c>
      <c r="G53" s="88" t="s">
        <v>153</v>
      </c>
      <c r="H53" s="88" t="s">
        <v>156</v>
      </c>
      <c r="I53" s="88" t="s">
        <v>124</v>
      </c>
      <c r="J53" s="88" t="s">
        <v>124</v>
      </c>
      <c r="K53" s="68"/>
      <c r="L53" s="69"/>
      <c r="M53" s="70"/>
      <c r="N53" s="74" t="s">
        <v>1667</v>
      </c>
      <c r="O53" s="90" t="s">
        <v>836</v>
      </c>
      <c r="P53" s="62" t="s">
        <v>128</v>
      </c>
    </row>
    <row r="54" spans="1:16" ht="30" customHeight="1">
      <c r="A54" s="63"/>
      <c r="B54" s="86" t="s">
        <v>224</v>
      </c>
      <c r="C54" s="87"/>
      <c r="D54" s="87" t="s">
        <v>131</v>
      </c>
      <c r="E54" s="73" t="s">
        <v>103</v>
      </c>
      <c r="F54" s="88" t="s">
        <v>136</v>
      </c>
      <c r="G54" s="88" t="s">
        <v>153</v>
      </c>
      <c r="H54" s="88" t="s">
        <v>156</v>
      </c>
      <c r="I54" s="88" t="s">
        <v>124</v>
      </c>
      <c r="J54" s="88" t="s">
        <v>126</v>
      </c>
      <c r="K54" s="68"/>
      <c r="L54" s="69"/>
      <c r="M54" s="70"/>
      <c r="N54" s="74" t="s">
        <v>1562</v>
      </c>
      <c r="O54" s="91" t="s">
        <v>837</v>
      </c>
      <c r="P54" s="62" t="s">
        <v>128</v>
      </c>
    </row>
    <row r="55" spans="1:16" ht="30" customHeight="1">
      <c r="A55" s="63"/>
      <c r="B55" s="86" t="s">
        <v>225</v>
      </c>
      <c r="C55" s="87"/>
      <c r="D55" s="87" t="s">
        <v>138</v>
      </c>
      <c r="E55" s="73" t="s">
        <v>104</v>
      </c>
      <c r="F55" s="88" t="s">
        <v>136</v>
      </c>
      <c r="G55" s="88" t="s">
        <v>153</v>
      </c>
      <c r="H55" s="88" t="s">
        <v>156</v>
      </c>
      <c r="I55" s="88" t="s">
        <v>124</v>
      </c>
      <c r="J55" s="88" t="s">
        <v>126</v>
      </c>
      <c r="K55" s="68"/>
      <c r="L55" s="69"/>
      <c r="M55" s="70"/>
      <c r="N55" s="74" t="s">
        <v>1562</v>
      </c>
      <c r="O55" s="90" t="s">
        <v>838</v>
      </c>
      <c r="P55" s="62" t="s">
        <v>128</v>
      </c>
    </row>
    <row r="56" spans="1:16" ht="30" customHeight="1">
      <c r="A56" s="63"/>
      <c r="B56" s="92" t="s">
        <v>226</v>
      </c>
      <c r="C56" s="87"/>
      <c r="D56" s="87" t="s">
        <v>131</v>
      </c>
      <c r="E56" s="73" t="s">
        <v>227</v>
      </c>
      <c r="F56" s="88" t="s">
        <v>136</v>
      </c>
      <c r="G56" s="88" t="s">
        <v>153</v>
      </c>
      <c r="H56" s="88" t="s">
        <v>156</v>
      </c>
      <c r="I56" s="88" t="s">
        <v>124</v>
      </c>
      <c r="J56" s="88" t="s">
        <v>126</v>
      </c>
      <c r="K56" s="68"/>
      <c r="L56" s="69"/>
      <c r="M56" s="70"/>
      <c r="N56" s="74" t="s">
        <v>1563</v>
      </c>
      <c r="O56" s="74" t="s">
        <v>228</v>
      </c>
      <c r="P56" s="62" t="s">
        <v>128</v>
      </c>
    </row>
    <row r="57" spans="1:16" ht="30" customHeight="1">
      <c r="A57" s="63"/>
      <c r="B57" s="86" t="s">
        <v>229</v>
      </c>
      <c r="C57" s="87"/>
      <c r="D57" s="87" t="s">
        <v>121</v>
      </c>
      <c r="E57" s="73" t="s">
        <v>230</v>
      </c>
      <c r="F57" s="88" t="s">
        <v>136</v>
      </c>
      <c r="G57" s="88" t="s">
        <v>153</v>
      </c>
      <c r="H57" s="88" t="s">
        <v>156</v>
      </c>
      <c r="I57" s="88" t="s">
        <v>124</v>
      </c>
      <c r="J57" s="88" t="s">
        <v>126</v>
      </c>
      <c r="K57" s="68"/>
      <c r="L57" s="69"/>
      <c r="M57" s="70"/>
      <c r="N57" s="74" t="s">
        <v>1563</v>
      </c>
      <c r="O57" s="73" t="s">
        <v>840</v>
      </c>
      <c r="P57" s="62" t="s">
        <v>128</v>
      </c>
    </row>
    <row r="58" spans="1:16" ht="30" customHeight="1">
      <c r="A58" s="63"/>
      <c r="B58" s="86" t="s">
        <v>231</v>
      </c>
      <c r="C58" s="87"/>
      <c r="D58" s="87" t="s">
        <v>121</v>
      </c>
      <c r="E58" s="73" t="s">
        <v>232</v>
      </c>
      <c r="F58" s="88" t="s">
        <v>136</v>
      </c>
      <c r="G58" s="88" t="s">
        <v>153</v>
      </c>
      <c r="H58" s="88" t="s">
        <v>156</v>
      </c>
      <c r="I58" s="88" t="s">
        <v>124</v>
      </c>
      <c r="J58" s="88" t="s">
        <v>126</v>
      </c>
      <c r="K58" s="68"/>
      <c r="L58" s="69"/>
      <c r="M58" s="70"/>
      <c r="N58" s="74" t="s">
        <v>1564</v>
      </c>
      <c r="O58" s="91" t="s">
        <v>1565</v>
      </c>
      <c r="P58" s="62" t="s">
        <v>128</v>
      </c>
    </row>
    <row r="59" spans="1:16" ht="30" customHeight="1">
      <c r="A59" s="63"/>
      <c r="B59" s="86" t="s">
        <v>233</v>
      </c>
      <c r="C59" s="87"/>
      <c r="D59" s="87" t="s">
        <v>138</v>
      </c>
      <c r="E59" s="73" t="s">
        <v>234</v>
      </c>
      <c r="F59" s="88" t="s">
        <v>136</v>
      </c>
      <c r="G59" s="88" t="s">
        <v>153</v>
      </c>
      <c r="H59" s="88" t="s">
        <v>156</v>
      </c>
      <c r="I59" s="88" t="s">
        <v>124</v>
      </c>
      <c r="J59" s="88" t="s">
        <v>126</v>
      </c>
      <c r="K59" s="68"/>
      <c r="L59" s="69"/>
      <c r="M59" s="70"/>
      <c r="N59" s="74" t="s">
        <v>1564</v>
      </c>
      <c r="O59" s="91" t="s">
        <v>1566</v>
      </c>
      <c r="P59" s="62" t="s">
        <v>128</v>
      </c>
    </row>
    <row r="60" spans="1:16" ht="30" customHeight="1">
      <c r="A60" s="63"/>
      <c r="B60" s="86" t="s">
        <v>235</v>
      </c>
      <c r="C60" s="87"/>
      <c r="D60" s="87" t="s">
        <v>131</v>
      </c>
      <c r="E60" s="73" t="s">
        <v>236</v>
      </c>
      <c r="F60" s="88" t="s">
        <v>136</v>
      </c>
      <c r="G60" s="88" t="s">
        <v>153</v>
      </c>
      <c r="H60" s="88" t="s">
        <v>156</v>
      </c>
      <c r="I60" s="88" t="s">
        <v>124</v>
      </c>
      <c r="J60" s="88" t="s">
        <v>126</v>
      </c>
      <c r="K60" s="68"/>
      <c r="L60" s="69"/>
      <c r="M60" s="70"/>
      <c r="N60" s="74" t="s">
        <v>1564</v>
      </c>
      <c r="O60" s="91" t="s">
        <v>1567</v>
      </c>
      <c r="P60" s="62" t="s">
        <v>128</v>
      </c>
    </row>
    <row r="61" spans="1:16" ht="30" customHeight="1">
      <c r="A61" s="76"/>
      <c r="B61" s="86" t="s">
        <v>237</v>
      </c>
      <c r="C61" s="87"/>
      <c r="D61" s="87" t="s">
        <v>213</v>
      </c>
      <c r="E61" s="73" t="s">
        <v>238</v>
      </c>
      <c r="F61" s="88" t="s">
        <v>136</v>
      </c>
      <c r="G61" s="88" t="s">
        <v>153</v>
      </c>
      <c r="H61" s="88" t="s">
        <v>156</v>
      </c>
      <c r="I61" s="88" t="s">
        <v>124</v>
      </c>
      <c r="J61" s="88" t="s">
        <v>126</v>
      </c>
      <c r="K61" s="68"/>
      <c r="L61" s="69"/>
      <c r="M61" s="70"/>
      <c r="N61" s="73" t="s">
        <v>1568</v>
      </c>
      <c r="O61" s="91" t="s">
        <v>1569</v>
      </c>
      <c r="P61" s="62" t="s">
        <v>128</v>
      </c>
    </row>
    <row r="62" spans="1:16" ht="30" customHeight="1">
      <c r="A62" s="76"/>
      <c r="B62" s="86" t="s">
        <v>239</v>
      </c>
      <c r="C62" s="87"/>
      <c r="D62" s="87" t="s">
        <v>138</v>
      </c>
      <c r="E62" s="73" t="s">
        <v>240</v>
      </c>
      <c r="F62" s="88" t="s">
        <v>136</v>
      </c>
      <c r="G62" s="88" t="s">
        <v>153</v>
      </c>
      <c r="H62" s="88" t="s">
        <v>156</v>
      </c>
      <c r="I62" s="88" t="s">
        <v>124</v>
      </c>
      <c r="J62" s="88" t="s">
        <v>126</v>
      </c>
      <c r="K62" s="68"/>
      <c r="L62" s="69"/>
      <c r="M62" s="70"/>
      <c r="N62" s="73" t="s">
        <v>1568</v>
      </c>
      <c r="O62" s="93" t="s">
        <v>1570</v>
      </c>
      <c r="P62" s="62" t="s">
        <v>128</v>
      </c>
    </row>
    <row r="63" spans="1:16" ht="30" customHeight="1">
      <c r="A63" s="76"/>
      <c r="B63" s="86" t="s">
        <v>241</v>
      </c>
      <c r="C63" s="87"/>
      <c r="D63" s="87" t="s">
        <v>121</v>
      </c>
      <c r="E63" s="73" t="s">
        <v>242</v>
      </c>
      <c r="F63" s="88" t="s">
        <v>136</v>
      </c>
      <c r="G63" s="88" t="s">
        <v>153</v>
      </c>
      <c r="H63" s="88" t="s">
        <v>156</v>
      </c>
      <c r="I63" s="88" t="s">
        <v>124</v>
      </c>
      <c r="J63" s="88" t="s">
        <v>126</v>
      </c>
      <c r="K63" s="68"/>
      <c r="L63" s="69"/>
      <c r="M63" s="70"/>
      <c r="N63" s="73" t="s">
        <v>1568</v>
      </c>
      <c r="O63" s="93" t="s">
        <v>1571</v>
      </c>
      <c r="P63" s="62" t="s">
        <v>128</v>
      </c>
    </row>
    <row r="64" spans="1:16" ht="30" customHeight="1">
      <c r="A64" s="76"/>
      <c r="B64" s="86" t="s">
        <v>243</v>
      </c>
      <c r="C64" s="87"/>
      <c r="D64" s="87" t="s">
        <v>131</v>
      </c>
      <c r="E64" s="73" t="s">
        <v>244</v>
      </c>
      <c r="F64" s="88" t="s">
        <v>136</v>
      </c>
      <c r="G64" s="88" t="s">
        <v>153</v>
      </c>
      <c r="H64" s="88" t="s">
        <v>156</v>
      </c>
      <c r="I64" s="88" t="s">
        <v>124</v>
      </c>
      <c r="J64" s="88" t="s">
        <v>126</v>
      </c>
      <c r="K64" s="68"/>
      <c r="L64" s="69"/>
      <c r="M64" s="70"/>
      <c r="N64" s="73" t="s">
        <v>1568</v>
      </c>
      <c r="O64" s="91" t="s">
        <v>1572</v>
      </c>
      <c r="P64" s="62" t="s">
        <v>128</v>
      </c>
    </row>
    <row r="65" spans="1:16" ht="30" customHeight="1">
      <c r="A65" s="76"/>
      <c r="B65" s="86" t="s">
        <v>245</v>
      </c>
      <c r="C65" s="87"/>
      <c r="D65" s="87" t="s">
        <v>131</v>
      </c>
      <c r="E65" s="73" t="s">
        <v>246</v>
      </c>
      <c r="F65" s="88" t="s">
        <v>136</v>
      </c>
      <c r="G65" s="88" t="s">
        <v>153</v>
      </c>
      <c r="H65" s="88" t="s">
        <v>156</v>
      </c>
      <c r="I65" s="88" t="s">
        <v>124</v>
      </c>
      <c r="J65" s="88" t="s">
        <v>126</v>
      </c>
      <c r="K65" s="68"/>
      <c r="L65" s="69"/>
      <c r="M65" s="70"/>
      <c r="N65" s="74" t="s">
        <v>1573</v>
      </c>
      <c r="O65" s="91" t="s">
        <v>841</v>
      </c>
      <c r="P65" s="62" t="s">
        <v>128</v>
      </c>
    </row>
    <row r="66" spans="1:16" ht="30" customHeight="1">
      <c r="A66" s="76"/>
      <c r="B66" s="86" t="s">
        <v>247</v>
      </c>
      <c r="C66" s="87"/>
      <c r="D66" s="87" t="s">
        <v>138</v>
      </c>
      <c r="E66" s="73" t="s">
        <v>248</v>
      </c>
      <c r="F66" s="88" t="s">
        <v>136</v>
      </c>
      <c r="G66" s="88" t="s">
        <v>153</v>
      </c>
      <c r="H66" s="88" t="s">
        <v>156</v>
      </c>
      <c r="I66" s="88" t="s">
        <v>124</v>
      </c>
      <c r="J66" s="88" t="s">
        <v>126</v>
      </c>
      <c r="K66" s="68"/>
      <c r="L66" s="69"/>
      <c r="M66" s="70"/>
      <c r="N66" s="74" t="s">
        <v>1573</v>
      </c>
      <c r="O66" s="91" t="s">
        <v>990</v>
      </c>
      <c r="P66" s="62" t="s">
        <v>128</v>
      </c>
    </row>
    <row r="67" spans="1:16" ht="30" customHeight="1">
      <c r="A67" s="63"/>
      <c r="B67" s="86" t="s">
        <v>249</v>
      </c>
      <c r="C67" s="87" t="s">
        <v>842</v>
      </c>
      <c r="D67" s="87" t="s">
        <v>138</v>
      </c>
      <c r="E67" s="73" t="s">
        <v>250</v>
      </c>
      <c r="F67" s="88" t="s">
        <v>136</v>
      </c>
      <c r="G67" s="88" t="s">
        <v>153</v>
      </c>
      <c r="H67" s="88" t="s">
        <v>156</v>
      </c>
      <c r="I67" s="88" t="s">
        <v>124</v>
      </c>
      <c r="J67" s="88" t="s">
        <v>126</v>
      </c>
      <c r="K67" s="68"/>
      <c r="L67" s="69"/>
      <c r="M67" s="70"/>
      <c r="N67" s="66" t="s">
        <v>843</v>
      </c>
      <c r="O67" s="91" t="s">
        <v>991</v>
      </c>
      <c r="P67" s="62" t="s">
        <v>128</v>
      </c>
    </row>
    <row r="68" spans="1:16" ht="30" customHeight="1">
      <c r="A68" s="63"/>
      <c r="B68" s="86" t="s">
        <v>251</v>
      </c>
      <c r="C68" s="87"/>
      <c r="D68" s="87" t="s">
        <v>131</v>
      </c>
      <c r="E68" s="73" t="s">
        <v>252</v>
      </c>
      <c r="F68" s="88" t="s">
        <v>136</v>
      </c>
      <c r="G68" s="88" t="s">
        <v>153</v>
      </c>
      <c r="H68" s="88" t="s">
        <v>156</v>
      </c>
      <c r="I68" s="88" t="s">
        <v>124</v>
      </c>
      <c r="J68" s="88" t="s">
        <v>126</v>
      </c>
      <c r="K68" s="68"/>
      <c r="L68" s="69"/>
      <c r="M68" s="70"/>
      <c r="N68" s="66" t="s">
        <v>843</v>
      </c>
      <c r="O68" s="91" t="s">
        <v>992</v>
      </c>
      <c r="P68" s="62" t="s">
        <v>128</v>
      </c>
    </row>
    <row r="69" spans="1:16" ht="30" customHeight="1">
      <c r="A69" s="63"/>
      <c r="B69" s="86" t="s">
        <v>844</v>
      </c>
      <c r="C69" s="87"/>
      <c r="D69" s="87"/>
      <c r="E69" s="73" t="s">
        <v>253</v>
      </c>
      <c r="F69" s="88" t="s">
        <v>136</v>
      </c>
      <c r="G69" s="88" t="s">
        <v>153</v>
      </c>
      <c r="H69" s="88" t="s">
        <v>156</v>
      </c>
      <c r="I69" s="88" t="s">
        <v>124</v>
      </c>
      <c r="J69" s="88" t="s">
        <v>126</v>
      </c>
      <c r="K69" s="68"/>
      <c r="L69" s="69"/>
      <c r="M69" s="70"/>
      <c r="N69" s="74" t="s">
        <v>833</v>
      </c>
      <c r="O69" s="90" t="s">
        <v>845</v>
      </c>
      <c r="P69" s="62" t="s">
        <v>128</v>
      </c>
    </row>
    <row r="70" spans="1:16" ht="30" customHeight="1">
      <c r="A70" s="63"/>
      <c r="B70" s="86" t="s">
        <v>846</v>
      </c>
      <c r="C70" s="87"/>
      <c r="D70" s="87"/>
      <c r="E70" s="73" t="s">
        <v>254</v>
      </c>
      <c r="F70" s="88" t="s">
        <v>136</v>
      </c>
      <c r="G70" s="88" t="s">
        <v>153</v>
      </c>
      <c r="H70" s="88" t="s">
        <v>156</v>
      </c>
      <c r="I70" s="88" t="s">
        <v>124</v>
      </c>
      <c r="J70" s="88" t="s">
        <v>126</v>
      </c>
      <c r="K70" s="68"/>
      <c r="L70" s="69"/>
      <c r="M70" s="70"/>
      <c r="N70" s="74" t="s">
        <v>833</v>
      </c>
      <c r="O70" s="90" t="s">
        <v>847</v>
      </c>
      <c r="P70" s="62" t="s">
        <v>128</v>
      </c>
    </row>
    <row r="71" spans="1:16" ht="30" customHeight="1">
      <c r="A71" s="63"/>
      <c r="B71" s="86" t="s">
        <v>848</v>
      </c>
      <c r="C71" s="87"/>
      <c r="D71" s="87"/>
      <c r="E71" s="73" t="s">
        <v>255</v>
      </c>
      <c r="F71" s="88" t="s">
        <v>136</v>
      </c>
      <c r="G71" s="88" t="s">
        <v>153</v>
      </c>
      <c r="H71" s="88" t="s">
        <v>156</v>
      </c>
      <c r="I71" s="88" t="s">
        <v>124</v>
      </c>
      <c r="J71" s="88" t="s">
        <v>126</v>
      </c>
      <c r="K71" s="68"/>
      <c r="L71" s="69"/>
      <c r="M71" s="70"/>
      <c r="N71" s="74" t="s">
        <v>833</v>
      </c>
      <c r="O71" s="90" t="s">
        <v>849</v>
      </c>
      <c r="P71" s="62" t="s">
        <v>128</v>
      </c>
    </row>
    <row r="72" spans="1:16" ht="30" customHeight="1">
      <c r="A72" s="63"/>
      <c r="B72" s="86" t="s">
        <v>256</v>
      </c>
      <c r="C72" s="87"/>
      <c r="D72" s="87" t="s">
        <v>138</v>
      </c>
      <c r="E72" s="73" t="s">
        <v>257</v>
      </c>
      <c r="F72" s="88" t="s">
        <v>136</v>
      </c>
      <c r="G72" s="88" t="s">
        <v>153</v>
      </c>
      <c r="H72" s="88" t="s">
        <v>156</v>
      </c>
      <c r="I72" s="88" t="s">
        <v>124</v>
      </c>
      <c r="J72" s="88" t="s">
        <v>126</v>
      </c>
      <c r="K72" s="68"/>
      <c r="L72" s="69"/>
      <c r="M72" s="70"/>
      <c r="N72" s="74" t="s">
        <v>833</v>
      </c>
      <c r="O72" s="90" t="s">
        <v>850</v>
      </c>
      <c r="P72" s="62" t="s">
        <v>128</v>
      </c>
    </row>
    <row r="73" spans="1:16" ht="30" customHeight="1">
      <c r="A73" s="63"/>
      <c r="B73" s="86" t="s">
        <v>258</v>
      </c>
      <c r="C73" s="87"/>
      <c r="D73" s="87" t="s">
        <v>131</v>
      </c>
      <c r="E73" s="73" t="s">
        <v>259</v>
      </c>
      <c r="F73" s="88" t="s">
        <v>136</v>
      </c>
      <c r="G73" s="88" t="s">
        <v>153</v>
      </c>
      <c r="H73" s="88" t="s">
        <v>156</v>
      </c>
      <c r="I73" s="88" t="s">
        <v>124</v>
      </c>
      <c r="J73" s="88" t="s">
        <v>126</v>
      </c>
      <c r="K73" s="68"/>
      <c r="L73" s="69"/>
      <c r="M73" s="70"/>
      <c r="N73" s="74" t="s">
        <v>851</v>
      </c>
      <c r="O73" s="91" t="s">
        <v>852</v>
      </c>
      <c r="P73" s="62" t="s">
        <v>128</v>
      </c>
    </row>
    <row r="74" spans="1:16" ht="30" customHeight="1">
      <c r="A74" s="63"/>
      <c r="B74" s="86" t="s">
        <v>260</v>
      </c>
      <c r="C74" s="87"/>
      <c r="D74" s="87" t="s">
        <v>131</v>
      </c>
      <c r="E74" s="73" t="s">
        <v>261</v>
      </c>
      <c r="F74" s="88" t="s">
        <v>136</v>
      </c>
      <c r="G74" s="88" t="s">
        <v>153</v>
      </c>
      <c r="H74" s="88" t="s">
        <v>156</v>
      </c>
      <c r="I74" s="88" t="s">
        <v>124</v>
      </c>
      <c r="J74" s="88" t="s">
        <v>126</v>
      </c>
      <c r="K74" s="68"/>
      <c r="L74" s="69"/>
      <c r="M74" s="70"/>
      <c r="N74" s="74" t="s">
        <v>833</v>
      </c>
      <c r="O74" s="90" t="s">
        <v>1574</v>
      </c>
      <c r="P74" s="62" t="s">
        <v>128</v>
      </c>
    </row>
    <row r="75" spans="1:16" ht="30" customHeight="1">
      <c r="A75" s="63"/>
      <c r="B75" s="86" t="s">
        <v>262</v>
      </c>
      <c r="C75" s="87"/>
      <c r="D75" s="87" t="s">
        <v>131</v>
      </c>
      <c r="E75" s="73" t="s">
        <v>263</v>
      </c>
      <c r="F75" s="88" t="s">
        <v>136</v>
      </c>
      <c r="G75" s="88" t="s">
        <v>153</v>
      </c>
      <c r="H75" s="88" t="s">
        <v>156</v>
      </c>
      <c r="I75" s="88" t="s">
        <v>124</v>
      </c>
      <c r="J75" s="88" t="s">
        <v>126</v>
      </c>
      <c r="K75" s="68"/>
      <c r="L75" s="69"/>
      <c r="M75" s="70"/>
      <c r="N75" s="74" t="s">
        <v>833</v>
      </c>
      <c r="O75" s="90" t="s">
        <v>853</v>
      </c>
      <c r="P75" s="62" t="s">
        <v>128</v>
      </c>
    </row>
    <row r="76" spans="1:16" ht="30" customHeight="1">
      <c r="A76" s="63"/>
      <c r="B76" s="86" t="s">
        <v>264</v>
      </c>
      <c r="C76" s="87"/>
      <c r="D76" s="87" t="s">
        <v>121</v>
      </c>
      <c r="E76" s="73" t="s">
        <v>265</v>
      </c>
      <c r="F76" s="88" t="s">
        <v>136</v>
      </c>
      <c r="G76" s="88" t="s">
        <v>153</v>
      </c>
      <c r="H76" s="88" t="s">
        <v>156</v>
      </c>
      <c r="I76" s="88" t="s">
        <v>124</v>
      </c>
      <c r="J76" s="88" t="s">
        <v>126</v>
      </c>
      <c r="K76" s="68"/>
      <c r="L76" s="69"/>
      <c r="M76" s="70"/>
      <c r="N76" s="74" t="s">
        <v>833</v>
      </c>
      <c r="O76" s="90" t="s">
        <v>854</v>
      </c>
      <c r="P76" s="62" t="s">
        <v>128</v>
      </c>
    </row>
    <row r="77" spans="1:16" ht="30" customHeight="1">
      <c r="A77" s="63"/>
      <c r="B77" s="86" t="s">
        <v>266</v>
      </c>
      <c r="C77" s="87"/>
      <c r="D77" s="87" t="s">
        <v>131</v>
      </c>
      <c r="E77" s="73" t="s">
        <v>855</v>
      </c>
      <c r="F77" s="88" t="s">
        <v>123</v>
      </c>
      <c r="G77" s="88" t="s">
        <v>153</v>
      </c>
      <c r="H77" s="88" t="s">
        <v>137</v>
      </c>
      <c r="I77" s="88" t="s">
        <v>124</v>
      </c>
      <c r="J77" s="88" t="s">
        <v>124</v>
      </c>
      <c r="K77" s="68"/>
      <c r="L77" s="69"/>
      <c r="M77" s="70">
        <v>30000</v>
      </c>
      <c r="N77" s="74" t="s">
        <v>833</v>
      </c>
      <c r="O77" s="90"/>
      <c r="P77" s="62" t="s">
        <v>128</v>
      </c>
    </row>
    <row r="78" spans="1:16" ht="30" customHeight="1">
      <c r="A78" s="76"/>
      <c r="B78" s="86" t="s">
        <v>266</v>
      </c>
      <c r="C78" s="87"/>
      <c r="D78" s="87" t="s">
        <v>131</v>
      </c>
      <c r="E78" s="73" t="s">
        <v>267</v>
      </c>
      <c r="F78" s="88" t="s">
        <v>136</v>
      </c>
      <c r="G78" s="88" t="s">
        <v>153</v>
      </c>
      <c r="H78" s="88" t="s">
        <v>156</v>
      </c>
      <c r="I78" s="88" t="s">
        <v>124</v>
      </c>
      <c r="J78" s="88" t="s">
        <v>126</v>
      </c>
      <c r="K78" s="68"/>
      <c r="L78" s="69"/>
      <c r="M78" s="70"/>
      <c r="N78" s="74" t="s">
        <v>833</v>
      </c>
      <c r="O78" s="90" t="s">
        <v>856</v>
      </c>
      <c r="P78" s="62" t="s">
        <v>128</v>
      </c>
    </row>
    <row r="79" spans="1:16" ht="30" customHeight="1">
      <c r="A79" s="63"/>
      <c r="B79" s="86" t="s">
        <v>268</v>
      </c>
      <c r="C79" s="87"/>
      <c r="D79" s="87" t="s">
        <v>121</v>
      </c>
      <c r="E79" s="73" t="s">
        <v>269</v>
      </c>
      <c r="F79" s="88" t="s">
        <v>136</v>
      </c>
      <c r="G79" s="88" t="s">
        <v>153</v>
      </c>
      <c r="H79" s="88" t="s">
        <v>137</v>
      </c>
      <c r="I79" s="88" t="s">
        <v>124</v>
      </c>
      <c r="J79" s="88" t="s">
        <v>124</v>
      </c>
      <c r="K79" s="68"/>
      <c r="L79" s="69"/>
      <c r="M79" s="70">
        <v>30000</v>
      </c>
      <c r="N79" s="74" t="s">
        <v>833</v>
      </c>
      <c r="O79" s="90"/>
      <c r="P79" s="62" t="s">
        <v>128</v>
      </c>
    </row>
    <row r="80" spans="1:16" ht="30" customHeight="1">
      <c r="A80" s="63"/>
      <c r="B80" s="86" t="s">
        <v>270</v>
      </c>
      <c r="C80" s="87"/>
      <c r="D80" s="87" t="s">
        <v>121</v>
      </c>
      <c r="E80" s="73" t="s">
        <v>271</v>
      </c>
      <c r="F80" s="88" t="s">
        <v>136</v>
      </c>
      <c r="G80" s="88" t="s">
        <v>153</v>
      </c>
      <c r="H80" s="88" t="s">
        <v>156</v>
      </c>
      <c r="I80" s="88" t="s">
        <v>124</v>
      </c>
      <c r="J80" s="88" t="s">
        <v>126</v>
      </c>
      <c r="K80" s="68"/>
      <c r="L80" s="69"/>
      <c r="M80" s="70"/>
      <c r="N80" s="74" t="s">
        <v>833</v>
      </c>
      <c r="O80" s="90" t="s">
        <v>857</v>
      </c>
      <c r="P80" s="62" t="s">
        <v>128</v>
      </c>
    </row>
    <row r="81" spans="1:16" ht="30" customHeight="1">
      <c r="A81" s="63"/>
      <c r="B81" s="86" t="s">
        <v>1575</v>
      </c>
      <c r="C81" s="87"/>
      <c r="D81" s="87"/>
      <c r="E81" s="73" t="s">
        <v>1576</v>
      </c>
      <c r="F81" s="88" t="s">
        <v>123</v>
      </c>
      <c r="G81" s="88" t="s">
        <v>124</v>
      </c>
      <c r="H81" s="88" t="s">
        <v>137</v>
      </c>
      <c r="I81" s="88" t="s">
        <v>124</v>
      </c>
      <c r="J81" s="88" t="s">
        <v>126</v>
      </c>
      <c r="K81" s="94"/>
      <c r="L81" s="69"/>
      <c r="M81" s="70">
        <v>60000</v>
      </c>
      <c r="N81" s="74"/>
      <c r="O81" s="90"/>
      <c r="P81" s="62" t="s">
        <v>128</v>
      </c>
    </row>
    <row r="82" spans="1:16" ht="30" customHeight="1">
      <c r="A82" s="63"/>
      <c r="B82" s="86" t="s">
        <v>1577</v>
      </c>
      <c r="C82" s="87"/>
      <c r="D82" s="87"/>
      <c r="E82" s="73" t="s">
        <v>1578</v>
      </c>
      <c r="F82" s="88" t="s">
        <v>123</v>
      </c>
      <c r="G82" s="88" t="s">
        <v>124</v>
      </c>
      <c r="H82" s="88" t="s">
        <v>137</v>
      </c>
      <c r="I82" s="88" t="s">
        <v>124</v>
      </c>
      <c r="J82" s="88" t="s">
        <v>126</v>
      </c>
      <c r="K82" s="94"/>
      <c r="L82" s="69"/>
      <c r="M82" s="70">
        <v>4000</v>
      </c>
      <c r="N82" s="74"/>
      <c r="O82" s="90"/>
      <c r="P82" s="62" t="s">
        <v>128</v>
      </c>
    </row>
    <row r="83" spans="1:16" ht="30" customHeight="1">
      <c r="A83" s="76"/>
      <c r="B83" s="64" t="s">
        <v>1579</v>
      </c>
      <c r="C83" s="65"/>
      <c r="D83" s="65"/>
      <c r="E83" s="71" t="s">
        <v>1580</v>
      </c>
      <c r="F83" s="67" t="s">
        <v>136</v>
      </c>
      <c r="G83" s="67" t="s">
        <v>124</v>
      </c>
      <c r="H83" s="67" t="s">
        <v>156</v>
      </c>
      <c r="I83" s="67" t="s">
        <v>126</v>
      </c>
      <c r="J83" s="67" t="s">
        <v>124</v>
      </c>
      <c r="K83" s="68"/>
      <c r="L83" s="69">
        <v>100</v>
      </c>
      <c r="M83" s="70">
        <v>30000</v>
      </c>
      <c r="N83" s="71"/>
      <c r="O83" s="72"/>
    </row>
    <row r="84" spans="1:16" ht="30" customHeight="1">
      <c r="A84" s="76"/>
      <c r="B84" s="64" t="s">
        <v>305</v>
      </c>
      <c r="C84" s="64"/>
      <c r="D84" s="64"/>
      <c r="E84" s="66" t="s">
        <v>941</v>
      </c>
      <c r="F84" s="69" t="s">
        <v>136</v>
      </c>
      <c r="G84" s="69" t="s">
        <v>153</v>
      </c>
      <c r="H84" s="69" t="s">
        <v>156</v>
      </c>
      <c r="I84" s="69" t="s">
        <v>124</v>
      </c>
      <c r="J84" s="69" t="s">
        <v>126</v>
      </c>
      <c r="K84" s="70" t="s">
        <v>858</v>
      </c>
      <c r="L84" s="69"/>
      <c r="M84" s="70"/>
      <c r="N84" s="74" t="s">
        <v>839</v>
      </c>
      <c r="O84" s="91" t="s">
        <v>942</v>
      </c>
    </row>
    <row r="85" spans="1:16" ht="30" customHeight="1">
      <c r="A85" s="63"/>
      <c r="B85" s="64" t="s">
        <v>306</v>
      </c>
      <c r="C85" s="64"/>
      <c r="D85" s="64"/>
      <c r="E85" s="66" t="s">
        <v>307</v>
      </c>
      <c r="F85" s="67" t="s">
        <v>136</v>
      </c>
      <c r="G85" s="69" t="s">
        <v>153</v>
      </c>
      <c r="H85" s="67" t="s">
        <v>156</v>
      </c>
      <c r="I85" s="67" t="s">
        <v>124</v>
      </c>
      <c r="J85" s="67" t="s">
        <v>124</v>
      </c>
      <c r="K85" s="70" t="s">
        <v>858</v>
      </c>
      <c r="L85" s="69"/>
      <c r="M85" s="70"/>
      <c r="N85" s="74" t="s">
        <v>859</v>
      </c>
      <c r="O85" s="85" t="s">
        <v>860</v>
      </c>
    </row>
    <row r="86" spans="1:16" ht="30" customHeight="1">
      <c r="A86" s="63"/>
      <c r="B86" s="64" t="s">
        <v>308</v>
      </c>
      <c r="C86" s="64"/>
      <c r="D86" s="64"/>
      <c r="E86" s="95" t="s">
        <v>309</v>
      </c>
      <c r="F86" s="67" t="s">
        <v>136</v>
      </c>
      <c r="G86" s="69" t="s">
        <v>153</v>
      </c>
      <c r="H86" s="67" t="s">
        <v>156</v>
      </c>
      <c r="I86" s="67" t="s">
        <v>124</v>
      </c>
      <c r="J86" s="67" t="s">
        <v>124</v>
      </c>
      <c r="K86" s="70" t="s">
        <v>858</v>
      </c>
      <c r="L86" s="69"/>
      <c r="M86" s="70"/>
      <c r="N86" s="74" t="s">
        <v>859</v>
      </c>
      <c r="O86" s="85" t="s">
        <v>861</v>
      </c>
    </row>
    <row r="87" spans="1:16" ht="30" customHeight="1">
      <c r="A87" s="63"/>
      <c r="B87" s="64" t="s">
        <v>310</v>
      </c>
      <c r="C87" s="64"/>
      <c r="D87" s="64"/>
      <c r="E87" s="95" t="s">
        <v>311</v>
      </c>
      <c r="F87" s="67" t="s">
        <v>136</v>
      </c>
      <c r="G87" s="69" t="s">
        <v>153</v>
      </c>
      <c r="H87" s="67" t="s">
        <v>156</v>
      </c>
      <c r="I87" s="67" t="s">
        <v>124</v>
      </c>
      <c r="J87" s="67" t="s">
        <v>124</v>
      </c>
      <c r="K87" s="70" t="s">
        <v>858</v>
      </c>
      <c r="L87" s="69"/>
      <c r="M87" s="70"/>
      <c r="N87" s="74" t="s">
        <v>859</v>
      </c>
      <c r="O87" s="85" t="s">
        <v>862</v>
      </c>
    </row>
    <row r="88" spans="1:16" ht="30" customHeight="1">
      <c r="A88" s="63"/>
      <c r="B88" s="64" t="s">
        <v>312</v>
      </c>
      <c r="C88" s="64"/>
      <c r="D88" s="64"/>
      <c r="E88" s="95" t="s">
        <v>313</v>
      </c>
      <c r="F88" s="67" t="s">
        <v>136</v>
      </c>
      <c r="G88" s="69" t="s">
        <v>153</v>
      </c>
      <c r="H88" s="67" t="s">
        <v>156</v>
      </c>
      <c r="I88" s="67" t="s">
        <v>124</v>
      </c>
      <c r="J88" s="67" t="s">
        <v>124</v>
      </c>
      <c r="K88" s="70" t="s">
        <v>858</v>
      </c>
      <c r="L88" s="69"/>
      <c r="M88" s="70"/>
      <c r="N88" s="71" t="s">
        <v>863</v>
      </c>
      <c r="O88" s="85" t="s">
        <v>864</v>
      </c>
    </row>
    <row r="89" spans="1:16" ht="30" customHeight="1">
      <c r="A89" s="63"/>
      <c r="B89" s="64" t="s">
        <v>314</v>
      </c>
      <c r="C89" s="64"/>
      <c r="D89" s="64"/>
      <c r="E89" s="95" t="s">
        <v>315</v>
      </c>
      <c r="F89" s="67" t="s">
        <v>136</v>
      </c>
      <c r="G89" s="69" t="s">
        <v>153</v>
      </c>
      <c r="H89" s="67" t="s">
        <v>156</v>
      </c>
      <c r="I89" s="67" t="s">
        <v>124</v>
      </c>
      <c r="J89" s="67" t="s">
        <v>124</v>
      </c>
      <c r="K89" s="70" t="s">
        <v>858</v>
      </c>
      <c r="L89" s="69"/>
      <c r="M89" s="70"/>
      <c r="N89" s="74" t="s">
        <v>859</v>
      </c>
      <c r="O89" s="85" t="s">
        <v>865</v>
      </c>
    </row>
    <row r="90" spans="1:16" ht="30" customHeight="1">
      <c r="A90" s="63"/>
      <c r="B90" s="64" t="s">
        <v>552</v>
      </c>
      <c r="C90" s="64"/>
      <c r="D90" s="64"/>
      <c r="E90" s="95" t="s">
        <v>316</v>
      </c>
      <c r="F90" s="67" t="s">
        <v>136</v>
      </c>
      <c r="G90" s="69" t="s">
        <v>153</v>
      </c>
      <c r="H90" s="67" t="s">
        <v>156</v>
      </c>
      <c r="I90" s="67" t="s">
        <v>124</v>
      </c>
      <c r="J90" s="67" t="s">
        <v>124</v>
      </c>
      <c r="K90" s="70" t="s">
        <v>858</v>
      </c>
      <c r="L90" s="69"/>
      <c r="M90" s="70"/>
      <c r="N90" s="74" t="s">
        <v>859</v>
      </c>
      <c r="O90" s="85" t="s">
        <v>866</v>
      </c>
    </row>
    <row r="91" spans="1:16" ht="30" customHeight="1">
      <c r="A91" s="63"/>
      <c r="B91" s="64" t="s">
        <v>317</v>
      </c>
      <c r="C91" s="64"/>
      <c r="D91" s="64"/>
      <c r="E91" s="95" t="s">
        <v>318</v>
      </c>
      <c r="F91" s="67" t="s">
        <v>136</v>
      </c>
      <c r="G91" s="69" t="s">
        <v>153</v>
      </c>
      <c r="H91" s="67" t="s">
        <v>156</v>
      </c>
      <c r="I91" s="67" t="s">
        <v>124</v>
      </c>
      <c r="J91" s="67" t="s">
        <v>124</v>
      </c>
      <c r="K91" s="70" t="s">
        <v>867</v>
      </c>
      <c r="L91" s="69"/>
      <c r="M91" s="70"/>
      <c r="N91" s="71" t="s">
        <v>863</v>
      </c>
      <c r="O91" s="85" t="s">
        <v>868</v>
      </c>
    </row>
    <row r="92" spans="1:16" ht="30" customHeight="1">
      <c r="A92" s="63"/>
      <c r="B92" s="64" t="s">
        <v>319</v>
      </c>
      <c r="C92" s="64"/>
      <c r="D92" s="64"/>
      <c r="E92" s="95" t="s">
        <v>320</v>
      </c>
      <c r="F92" s="67" t="s">
        <v>136</v>
      </c>
      <c r="G92" s="69" t="s">
        <v>153</v>
      </c>
      <c r="H92" s="67" t="s">
        <v>156</v>
      </c>
      <c r="I92" s="67" t="s">
        <v>124</v>
      </c>
      <c r="J92" s="67" t="s">
        <v>124</v>
      </c>
      <c r="K92" s="70" t="s">
        <v>858</v>
      </c>
      <c r="L92" s="69"/>
      <c r="M92" s="70"/>
      <c r="N92" s="71" t="s">
        <v>863</v>
      </c>
      <c r="O92" s="85" t="s">
        <v>869</v>
      </c>
    </row>
    <row r="93" spans="1:16" ht="30" customHeight="1">
      <c r="A93" s="63"/>
      <c r="B93" s="64" t="s">
        <v>321</v>
      </c>
      <c r="C93" s="64"/>
      <c r="D93" s="64"/>
      <c r="E93" s="66" t="s">
        <v>322</v>
      </c>
      <c r="F93" s="69" t="s">
        <v>136</v>
      </c>
      <c r="G93" s="69" t="s">
        <v>124</v>
      </c>
      <c r="H93" s="67" t="s">
        <v>156</v>
      </c>
      <c r="I93" s="67" t="s">
        <v>124</v>
      </c>
      <c r="J93" s="67" t="s">
        <v>124</v>
      </c>
      <c r="K93" s="70" t="s">
        <v>858</v>
      </c>
      <c r="L93" s="69"/>
      <c r="M93" s="70"/>
      <c r="N93" s="71"/>
      <c r="O93" s="85"/>
    </row>
    <row r="94" spans="1:16" ht="30" customHeight="1">
      <c r="A94" s="63"/>
      <c r="B94" s="64" t="s">
        <v>323</v>
      </c>
      <c r="C94" s="64"/>
      <c r="D94" s="64"/>
      <c r="E94" s="95" t="s">
        <v>324</v>
      </c>
      <c r="F94" s="69" t="s">
        <v>136</v>
      </c>
      <c r="G94" s="69" t="s">
        <v>153</v>
      </c>
      <c r="H94" s="67" t="s">
        <v>156</v>
      </c>
      <c r="I94" s="67" t="s">
        <v>124</v>
      </c>
      <c r="J94" s="67" t="s">
        <v>124</v>
      </c>
      <c r="K94" s="70" t="s">
        <v>858</v>
      </c>
      <c r="L94" s="69"/>
      <c r="M94" s="70"/>
      <c r="N94" s="71" t="s">
        <v>863</v>
      </c>
      <c r="O94" s="85" t="s">
        <v>870</v>
      </c>
    </row>
    <row r="95" spans="1:16" ht="30" customHeight="1">
      <c r="A95" s="63"/>
      <c r="B95" s="64" t="s">
        <v>325</v>
      </c>
      <c r="C95" s="64"/>
      <c r="D95" s="64"/>
      <c r="E95" s="95" t="s">
        <v>326</v>
      </c>
      <c r="F95" s="67" t="s">
        <v>136</v>
      </c>
      <c r="G95" s="69" t="s">
        <v>153</v>
      </c>
      <c r="H95" s="67" t="s">
        <v>156</v>
      </c>
      <c r="I95" s="67" t="s">
        <v>124</v>
      </c>
      <c r="J95" s="67" t="s">
        <v>124</v>
      </c>
      <c r="K95" s="70" t="s">
        <v>858</v>
      </c>
      <c r="L95" s="69"/>
      <c r="M95" s="70"/>
      <c r="N95" s="66" t="s">
        <v>871</v>
      </c>
      <c r="O95" s="85"/>
    </row>
    <row r="96" spans="1:16" ht="30" customHeight="1">
      <c r="A96" s="63"/>
      <c r="B96" s="64" t="s">
        <v>327</v>
      </c>
      <c r="C96" s="64"/>
      <c r="D96" s="64"/>
      <c r="E96" s="66" t="s">
        <v>328</v>
      </c>
      <c r="F96" s="67" t="s">
        <v>136</v>
      </c>
      <c r="G96" s="69" t="s">
        <v>153</v>
      </c>
      <c r="H96" s="67" t="s">
        <v>156</v>
      </c>
      <c r="I96" s="67" t="s">
        <v>124</v>
      </c>
      <c r="J96" s="67" t="s">
        <v>124</v>
      </c>
      <c r="K96" s="70" t="s">
        <v>858</v>
      </c>
      <c r="L96" s="69"/>
      <c r="M96" s="70"/>
      <c r="N96" s="66" t="s">
        <v>872</v>
      </c>
      <c r="O96" s="85"/>
    </row>
    <row r="97" spans="1:15" ht="30" customHeight="1">
      <c r="A97" s="63"/>
      <c r="B97" s="64" t="s">
        <v>329</v>
      </c>
      <c r="C97" s="64"/>
      <c r="D97" s="64"/>
      <c r="E97" s="95" t="s">
        <v>330</v>
      </c>
      <c r="F97" s="67" t="s">
        <v>136</v>
      </c>
      <c r="G97" s="69" t="s">
        <v>153</v>
      </c>
      <c r="H97" s="67" t="s">
        <v>156</v>
      </c>
      <c r="I97" s="67" t="s">
        <v>124</v>
      </c>
      <c r="J97" s="67" t="s">
        <v>124</v>
      </c>
      <c r="K97" s="70" t="s">
        <v>858</v>
      </c>
      <c r="L97" s="69"/>
      <c r="M97" s="70"/>
      <c r="N97" s="66" t="s">
        <v>873</v>
      </c>
      <c r="O97" s="85" t="s">
        <v>874</v>
      </c>
    </row>
    <row r="98" spans="1:15" ht="30" customHeight="1">
      <c r="A98" s="63"/>
      <c r="B98" s="64" t="s">
        <v>331</v>
      </c>
      <c r="C98" s="64"/>
      <c r="D98" s="64"/>
      <c r="E98" s="95" t="s">
        <v>332</v>
      </c>
      <c r="F98" s="67" t="s">
        <v>136</v>
      </c>
      <c r="G98" s="69" t="s">
        <v>153</v>
      </c>
      <c r="H98" s="67" t="s">
        <v>156</v>
      </c>
      <c r="I98" s="67" t="s">
        <v>124</v>
      </c>
      <c r="J98" s="67" t="s">
        <v>124</v>
      </c>
      <c r="K98" s="70" t="s">
        <v>858</v>
      </c>
      <c r="L98" s="69"/>
      <c r="M98" s="70"/>
      <c r="N98" s="66" t="s">
        <v>873</v>
      </c>
      <c r="O98" s="85" t="s">
        <v>875</v>
      </c>
    </row>
    <row r="99" spans="1:15" ht="30" customHeight="1">
      <c r="A99" s="63"/>
      <c r="B99" s="96" t="s">
        <v>333</v>
      </c>
      <c r="C99" s="64"/>
      <c r="D99" s="64"/>
      <c r="E99" s="66" t="s">
        <v>334</v>
      </c>
      <c r="F99" s="69" t="s">
        <v>136</v>
      </c>
      <c r="G99" s="69" t="s">
        <v>153</v>
      </c>
      <c r="H99" s="69" t="s">
        <v>156</v>
      </c>
      <c r="I99" s="69" t="s">
        <v>124</v>
      </c>
      <c r="J99" s="69" t="s">
        <v>126</v>
      </c>
      <c r="K99" s="70" t="s">
        <v>858</v>
      </c>
      <c r="L99" s="69"/>
      <c r="M99" s="70"/>
      <c r="N99" s="73" t="s">
        <v>830</v>
      </c>
      <c r="O99" s="85" t="s">
        <v>876</v>
      </c>
    </row>
    <row r="100" spans="1:15" ht="30" customHeight="1">
      <c r="A100" s="63"/>
      <c r="B100" s="64" t="s">
        <v>335</v>
      </c>
      <c r="C100" s="64"/>
      <c r="D100" s="64"/>
      <c r="E100" s="66" t="s">
        <v>336</v>
      </c>
      <c r="F100" s="69" t="s">
        <v>136</v>
      </c>
      <c r="G100" s="69" t="s">
        <v>153</v>
      </c>
      <c r="H100" s="69" t="s">
        <v>156</v>
      </c>
      <c r="I100" s="69" t="s">
        <v>124</v>
      </c>
      <c r="J100" s="69" t="s">
        <v>126</v>
      </c>
      <c r="K100" s="70" t="s">
        <v>858</v>
      </c>
      <c r="L100" s="69"/>
      <c r="M100" s="70"/>
      <c r="N100" s="73" t="s">
        <v>830</v>
      </c>
      <c r="O100" s="85" t="s">
        <v>877</v>
      </c>
    </row>
    <row r="101" spans="1:15" ht="30" customHeight="1">
      <c r="A101" s="63"/>
      <c r="B101" s="96" t="s">
        <v>337</v>
      </c>
      <c r="C101" s="64"/>
      <c r="D101" s="64"/>
      <c r="E101" s="66" t="s">
        <v>338</v>
      </c>
      <c r="F101" s="69" t="s">
        <v>136</v>
      </c>
      <c r="G101" s="69" t="s">
        <v>153</v>
      </c>
      <c r="H101" s="69" t="s">
        <v>156</v>
      </c>
      <c r="I101" s="69" t="s">
        <v>124</v>
      </c>
      <c r="J101" s="69" t="s">
        <v>126</v>
      </c>
      <c r="K101" s="70" t="s">
        <v>858</v>
      </c>
      <c r="L101" s="69"/>
      <c r="M101" s="70"/>
      <c r="N101" s="73" t="s">
        <v>830</v>
      </c>
      <c r="O101" s="85" t="s">
        <v>878</v>
      </c>
    </row>
    <row r="102" spans="1:15" ht="30" customHeight="1">
      <c r="A102" s="63"/>
      <c r="B102" s="64" t="s">
        <v>339</v>
      </c>
      <c r="C102" s="64"/>
      <c r="D102" s="64"/>
      <c r="E102" s="66" t="s">
        <v>340</v>
      </c>
      <c r="F102" s="67" t="s">
        <v>136</v>
      </c>
      <c r="G102" s="69" t="s">
        <v>153</v>
      </c>
      <c r="H102" s="67" t="s">
        <v>156</v>
      </c>
      <c r="I102" s="67" t="s">
        <v>124</v>
      </c>
      <c r="J102" s="67" t="s">
        <v>126</v>
      </c>
      <c r="K102" s="70" t="s">
        <v>858</v>
      </c>
      <c r="L102" s="69"/>
      <c r="M102" s="70"/>
      <c r="N102" s="66" t="s">
        <v>871</v>
      </c>
      <c r="O102" s="72" t="s">
        <v>879</v>
      </c>
    </row>
    <row r="103" spans="1:15" ht="30" customHeight="1">
      <c r="A103" s="63"/>
      <c r="B103" s="64" t="s">
        <v>341</v>
      </c>
      <c r="C103" s="64"/>
      <c r="D103" s="64"/>
      <c r="E103" s="66" t="s">
        <v>342</v>
      </c>
      <c r="F103" s="67" t="s">
        <v>136</v>
      </c>
      <c r="G103" s="69" t="s">
        <v>153</v>
      </c>
      <c r="H103" s="67" t="s">
        <v>156</v>
      </c>
      <c r="I103" s="67" t="s">
        <v>124</v>
      </c>
      <c r="J103" s="67" t="s">
        <v>126</v>
      </c>
      <c r="K103" s="70" t="s">
        <v>858</v>
      </c>
      <c r="L103" s="69"/>
      <c r="M103" s="70"/>
      <c r="N103" s="66" t="s">
        <v>871</v>
      </c>
      <c r="O103" s="72" t="s">
        <v>880</v>
      </c>
    </row>
    <row r="104" spans="1:15" ht="30" customHeight="1">
      <c r="A104" s="63"/>
      <c r="B104" s="64" t="s">
        <v>343</v>
      </c>
      <c r="C104" s="65"/>
      <c r="D104" s="65"/>
      <c r="E104" s="71" t="s">
        <v>344</v>
      </c>
      <c r="F104" s="67" t="s">
        <v>136</v>
      </c>
      <c r="G104" s="69" t="s">
        <v>153</v>
      </c>
      <c r="H104" s="67" t="s">
        <v>156</v>
      </c>
      <c r="I104" s="67" t="s">
        <v>124</v>
      </c>
      <c r="J104" s="67" t="s">
        <v>126</v>
      </c>
      <c r="K104" s="70" t="s">
        <v>858</v>
      </c>
      <c r="L104" s="69"/>
      <c r="M104" s="70"/>
      <c r="N104" s="72" t="s">
        <v>126</v>
      </c>
      <c r="O104" s="85" t="s">
        <v>126</v>
      </c>
    </row>
    <row r="105" spans="1:15" ht="30" customHeight="1">
      <c r="A105" s="63"/>
      <c r="B105" s="64" t="s">
        <v>345</v>
      </c>
      <c r="C105" s="65"/>
      <c r="D105" s="65"/>
      <c r="E105" s="71" t="s">
        <v>346</v>
      </c>
      <c r="F105" s="67" t="s">
        <v>136</v>
      </c>
      <c r="G105" s="69" t="s">
        <v>153</v>
      </c>
      <c r="H105" s="67" t="s">
        <v>156</v>
      </c>
      <c r="I105" s="67" t="s">
        <v>124</v>
      </c>
      <c r="J105" s="67" t="s">
        <v>126</v>
      </c>
      <c r="K105" s="70" t="s">
        <v>858</v>
      </c>
      <c r="L105" s="69"/>
      <c r="M105" s="70"/>
      <c r="N105" s="72" t="s">
        <v>126</v>
      </c>
      <c r="O105" s="85" t="s">
        <v>126</v>
      </c>
    </row>
    <row r="106" spans="1:15" ht="30" customHeight="1">
      <c r="A106" s="63"/>
      <c r="B106" s="64" t="s">
        <v>347</v>
      </c>
      <c r="C106" s="65"/>
      <c r="D106" s="65"/>
      <c r="E106" s="71" t="s">
        <v>348</v>
      </c>
      <c r="F106" s="67" t="s">
        <v>136</v>
      </c>
      <c r="G106" s="69" t="s">
        <v>153</v>
      </c>
      <c r="H106" s="67" t="s">
        <v>156</v>
      </c>
      <c r="I106" s="67" t="s">
        <v>124</v>
      </c>
      <c r="J106" s="67" t="s">
        <v>126</v>
      </c>
      <c r="K106" s="70" t="s">
        <v>858</v>
      </c>
      <c r="L106" s="69"/>
      <c r="M106" s="70"/>
      <c r="N106" s="72" t="s">
        <v>126</v>
      </c>
      <c r="O106" s="72" t="s">
        <v>126</v>
      </c>
    </row>
    <row r="107" spans="1:15" ht="30" customHeight="1">
      <c r="A107" s="63"/>
      <c r="B107" s="64" t="s">
        <v>349</v>
      </c>
      <c r="C107" s="65"/>
      <c r="D107" s="65"/>
      <c r="E107" s="71" t="s">
        <v>350</v>
      </c>
      <c r="F107" s="67" t="s">
        <v>136</v>
      </c>
      <c r="G107" s="69" t="s">
        <v>153</v>
      </c>
      <c r="H107" s="67" t="s">
        <v>156</v>
      </c>
      <c r="I107" s="67" t="s">
        <v>124</v>
      </c>
      <c r="J107" s="67" t="s">
        <v>126</v>
      </c>
      <c r="K107" s="70" t="s">
        <v>858</v>
      </c>
      <c r="L107" s="69"/>
      <c r="M107" s="70"/>
      <c r="N107" s="72" t="s">
        <v>126</v>
      </c>
      <c r="O107" s="72" t="s">
        <v>126</v>
      </c>
    </row>
    <row r="108" spans="1:15" ht="30" customHeight="1">
      <c r="A108" s="63"/>
      <c r="B108" s="96" t="s">
        <v>351</v>
      </c>
      <c r="C108" s="65"/>
      <c r="D108" s="65"/>
      <c r="E108" s="71" t="s">
        <v>352</v>
      </c>
      <c r="F108" s="67" t="s">
        <v>136</v>
      </c>
      <c r="G108" s="69" t="s">
        <v>153</v>
      </c>
      <c r="H108" s="67" t="s">
        <v>156</v>
      </c>
      <c r="I108" s="67" t="s">
        <v>124</v>
      </c>
      <c r="J108" s="67" t="s">
        <v>126</v>
      </c>
      <c r="K108" s="70" t="s">
        <v>858</v>
      </c>
      <c r="L108" s="69"/>
      <c r="M108" s="70"/>
      <c r="N108" s="72" t="s">
        <v>126</v>
      </c>
      <c r="O108" s="85" t="s">
        <v>126</v>
      </c>
    </row>
    <row r="109" spans="1:15" ht="30" customHeight="1">
      <c r="A109" s="63"/>
      <c r="B109" s="96" t="s">
        <v>943</v>
      </c>
      <c r="C109" s="65"/>
      <c r="D109" s="65"/>
      <c r="E109" s="71" t="s">
        <v>944</v>
      </c>
      <c r="F109" s="67" t="s">
        <v>136</v>
      </c>
      <c r="G109" s="69" t="s">
        <v>153</v>
      </c>
      <c r="H109" s="67" t="s">
        <v>156</v>
      </c>
      <c r="I109" s="67" t="s">
        <v>124</v>
      </c>
      <c r="J109" s="67" t="s">
        <v>126</v>
      </c>
      <c r="K109" s="70" t="s">
        <v>858</v>
      </c>
      <c r="L109" s="69"/>
      <c r="M109" s="70"/>
      <c r="N109" s="72" t="s">
        <v>126</v>
      </c>
      <c r="O109" s="85" t="s">
        <v>945</v>
      </c>
    </row>
    <row r="110" spans="1:15" ht="30" customHeight="1">
      <c r="A110" s="63"/>
      <c r="B110" s="96" t="s">
        <v>946</v>
      </c>
      <c r="C110" s="65"/>
      <c r="D110" s="65"/>
      <c r="E110" s="71" t="s">
        <v>947</v>
      </c>
      <c r="F110" s="67" t="s">
        <v>136</v>
      </c>
      <c r="G110" s="69" t="s">
        <v>153</v>
      </c>
      <c r="H110" s="67" t="s">
        <v>156</v>
      </c>
      <c r="I110" s="67" t="s">
        <v>124</v>
      </c>
      <c r="J110" s="67" t="s">
        <v>126</v>
      </c>
      <c r="K110" s="70" t="s">
        <v>858</v>
      </c>
      <c r="L110" s="69"/>
      <c r="M110" s="70"/>
      <c r="N110" s="72" t="s">
        <v>126</v>
      </c>
      <c r="O110" s="85" t="s">
        <v>948</v>
      </c>
    </row>
    <row r="111" spans="1:15" ht="30" customHeight="1">
      <c r="A111" s="63"/>
      <c r="B111" s="96" t="s">
        <v>949</v>
      </c>
      <c r="C111" s="65"/>
      <c r="D111" s="65"/>
      <c r="E111" s="71" t="s">
        <v>950</v>
      </c>
      <c r="F111" s="67" t="s">
        <v>136</v>
      </c>
      <c r="G111" s="69" t="s">
        <v>153</v>
      </c>
      <c r="H111" s="67" t="s">
        <v>156</v>
      </c>
      <c r="I111" s="67" t="s">
        <v>124</v>
      </c>
      <c r="J111" s="67" t="s">
        <v>126</v>
      </c>
      <c r="K111" s="70" t="s">
        <v>858</v>
      </c>
      <c r="L111" s="69"/>
      <c r="M111" s="70"/>
      <c r="N111" s="72" t="s">
        <v>126</v>
      </c>
      <c r="O111" s="85" t="s">
        <v>951</v>
      </c>
    </row>
    <row r="112" spans="1:15" ht="30" customHeight="1">
      <c r="A112" s="63"/>
      <c r="B112" s="96" t="s">
        <v>952</v>
      </c>
      <c r="C112" s="65"/>
      <c r="D112" s="65"/>
      <c r="E112" s="71" t="s">
        <v>953</v>
      </c>
      <c r="F112" s="67" t="s">
        <v>136</v>
      </c>
      <c r="G112" s="69" t="s">
        <v>153</v>
      </c>
      <c r="H112" s="67" t="s">
        <v>156</v>
      </c>
      <c r="I112" s="67" t="s">
        <v>124</v>
      </c>
      <c r="J112" s="67" t="s">
        <v>126</v>
      </c>
      <c r="K112" s="70" t="s">
        <v>858</v>
      </c>
      <c r="L112" s="69"/>
      <c r="M112" s="70"/>
      <c r="N112" s="72" t="s">
        <v>126</v>
      </c>
      <c r="O112" s="85" t="s">
        <v>954</v>
      </c>
    </row>
    <row r="113" spans="1:15" ht="30" customHeight="1">
      <c r="A113" s="63"/>
      <c r="B113" s="96" t="s">
        <v>1581</v>
      </c>
      <c r="C113" s="65"/>
      <c r="D113" s="65"/>
      <c r="E113" s="71" t="s">
        <v>1582</v>
      </c>
      <c r="F113" s="67" t="s">
        <v>136</v>
      </c>
      <c r="G113" s="69" t="s">
        <v>153</v>
      </c>
      <c r="H113" s="67" t="s">
        <v>156</v>
      </c>
      <c r="I113" s="67" t="s">
        <v>124</v>
      </c>
      <c r="J113" s="67" t="s">
        <v>126</v>
      </c>
      <c r="K113" s="70" t="s">
        <v>858</v>
      </c>
      <c r="L113" s="69"/>
      <c r="M113" s="70"/>
      <c r="N113" s="72" t="s">
        <v>1583</v>
      </c>
      <c r="O113" s="85" t="s">
        <v>1584</v>
      </c>
    </row>
    <row r="114" spans="1:15" ht="30" customHeight="1">
      <c r="A114" s="63"/>
      <c r="B114" s="96" t="s">
        <v>1585</v>
      </c>
      <c r="C114" s="65"/>
      <c r="D114" s="65"/>
      <c r="E114" s="71" t="s">
        <v>1586</v>
      </c>
      <c r="F114" s="67" t="s">
        <v>136</v>
      </c>
      <c r="G114" s="69" t="s">
        <v>153</v>
      </c>
      <c r="H114" s="67" t="s">
        <v>156</v>
      </c>
      <c r="I114" s="67" t="s">
        <v>124</v>
      </c>
      <c r="J114" s="67" t="s">
        <v>126</v>
      </c>
      <c r="K114" s="70" t="s">
        <v>858</v>
      </c>
      <c r="L114" s="69"/>
      <c r="M114" s="70"/>
      <c r="N114" s="72" t="s">
        <v>1583</v>
      </c>
      <c r="O114" s="72" t="s">
        <v>1587</v>
      </c>
    </row>
    <row r="115" spans="1:15" ht="30" customHeight="1">
      <c r="A115" s="63"/>
      <c r="B115" s="96" t="s">
        <v>1588</v>
      </c>
      <c r="C115" s="65"/>
      <c r="D115" s="65"/>
      <c r="E115" s="71" t="s">
        <v>1589</v>
      </c>
      <c r="F115" s="67" t="s">
        <v>136</v>
      </c>
      <c r="G115" s="69" t="s">
        <v>153</v>
      </c>
      <c r="H115" s="67" t="s">
        <v>156</v>
      </c>
      <c r="I115" s="67" t="s">
        <v>124</v>
      </c>
      <c r="J115" s="67" t="s">
        <v>126</v>
      </c>
      <c r="K115" s="70" t="s">
        <v>858</v>
      </c>
      <c r="L115" s="69"/>
      <c r="M115" s="70"/>
      <c r="N115" s="72" t="s">
        <v>1583</v>
      </c>
      <c r="O115" s="72" t="s">
        <v>1590</v>
      </c>
    </row>
    <row r="116" spans="1:15" ht="30" customHeight="1">
      <c r="A116" s="63"/>
      <c r="B116" s="96" t="s">
        <v>1591</v>
      </c>
      <c r="C116" s="65"/>
      <c r="D116" s="65"/>
      <c r="E116" s="71" t="s">
        <v>1592</v>
      </c>
      <c r="F116" s="67" t="s">
        <v>136</v>
      </c>
      <c r="G116" s="69" t="s">
        <v>153</v>
      </c>
      <c r="H116" s="67" t="s">
        <v>156</v>
      </c>
      <c r="I116" s="67" t="s">
        <v>124</v>
      </c>
      <c r="J116" s="67" t="s">
        <v>126</v>
      </c>
      <c r="K116" s="70" t="s">
        <v>858</v>
      </c>
      <c r="L116" s="69"/>
      <c r="M116" s="70"/>
      <c r="N116" s="72" t="s">
        <v>1583</v>
      </c>
      <c r="O116" s="72" t="s">
        <v>1593</v>
      </c>
    </row>
    <row r="117" spans="1:15" ht="30" customHeight="1">
      <c r="A117" s="63"/>
      <c r="B117" s="96" t="s">
        <v>1594</v>
      </c>
      <c r="C117" s="65"/>
      <c r="D117" s="65"/>
      <c r="E117" s="71" t="s">
        <v>1595</v>
      </c>
      <c r="F117" s="67" t="s">
        <v>136</v>
      </c>
      <c r="G117" s="69" t="s">
        <v>153</v>
      </c>
      <c r="H117" s="67" t="s">
        <v>156</v>
      </c>
      <c r="I117" s="67" t="s">
        <v>124</v>
      </c>
      <c r="J117" s="67" t="s">
        <v>126</v>
      </c>
      <c r="K117" s="70" t="s">
        <v>858</v>
      </c>
      <c r="L117" s="69"/>
      <c r="M117" s="70"/>
      <c r="N117" s="72" t="s">
        <v>1596</v>
      </c>
      <c r="O117" s="72" t="s">
        <v>1597</v>
      </c>
    </row>
    <row r="118" spans="1:15" ht="30" customHeight="1">
      <c r="A118" s="63"/>
      <c r="B118" s="96" t="s">
        <v>1598</v>
      </c>
      <c r="C118" s="65"/>
      <c r="D118" s="65"/>
      <c r="E118" s="71" t="s">
        <v>1599</v>
      </c>
      <c r="F118" s="67" t="s">
        <v>136</v>
      </c>
      <c r="G118" s="69" t="s">
        <v>153</v>
      </c>
      <c r="H118" s="67" t="s">
        <v>156</v>
      </c>
      <c r="I118" s="67" t="s">
        <v>124</v>
      </c>
      <c r="J118" s="67" t="s">
        <v>126</v>
      </c>
      <c r="K118" s="70" t="s">
        <v>858</v>
      </c>
      <c r="L118" s="69"/>
      <c r="M118" s="70"/>
      <c r="N118" s="72" t="s">
        <v>1583</v>
      </c>
      <c r="O118" s="72" t="s">
        <v>1600</v>
      </c>
    </row>
    <row r="119" spans="1:15" ht="30" customHeight="1">
      <c r="A119" s="63"/>
      <c r="B119" s="64" t="s">
        <v>353</v>
      </c>
      <c r="C119" s="65"/>
      <c r="D119" s="65"/>
      <c r="E119" s="79" t="s">
        <v>354</v>
      </c>
      <c r="F119" s="67" t="s">
        <v>136</v>
      </c>
      <c r="G119" s="69" t="s">
        <v>153</v>
      </c>
      <c r="H119" s="67" t="s">
        <v>156</v>
      </c>
      <c r="I119" s="67" t="s">
        <v>124</v>
      </c>
      <c r="J119" s="67" t="s">
        <v>126</v>
      </c>
      <c r="K119" s="70" t="s">
        <v>858</v>
      </c>
      <c r="L119" s="69"/>
      <c r="M119" s="70"/>
      <c r="N119" s="66" t="s">
        <v>881</v>
      </c>
      <c r="O119" s="85" t="s">
        <v>882</v>
      </c>
    </row>
    <row r="120" spans="1:15" ht="30" customHeight="1">
      <c r="A120" s="63"/>
      <c r="B120" s="64" t="s">
        <v>355</v>
      </c>
      <c r="C120" s="65"/>
      <c r="D120" s="65"/>
      <c r="E120" s="71" t="s">
        <v>356</v>
      </c>
      <c r="F120" s="67" t="s">
        <v>136</v>
      </c>
      <c r="G120" s="69" t="s">
        <v>153</v>
      </c>
      <c r="H120" s="67" t="s">
        <v>156</v>
      </c>
      <c r="I120" s="67" t="s">
        <v>124</v>
      </c>
      <c r="J120" s="67" t="s">
        <v>126</v>
      </c>
      <c r="K120" s="70" t="s">
        <v>858</v>
      </c>
      <c r="L120" s="69"/>
      <c r="M120" s="70"/>
      <c r="N120" s="66" t="s">
        <v>881</v>
      </c>
      <c r="O120" s="85" t="s">
        <v>883</v>
      </c>
    </row>
    <row r="121" spans="1:15" ht="30" customHeight="1">
      <c r="A121" s="63"/>
      <c r="B121" s="64" t="s">
        <v>357</v>
      </c>
      <c r="C121" s="65"/>
      <c r="D121" s="65"/>
      <c r="E121" s="71" t="s">
        <v>358</v>
      </c>
      <c r="F121" s="67" t="s">
        <v>136</v>
      </c>
      <c r="G121" s="69" t="s">
        <v>153</v>
      </c>
      <c r="H121" s="67" t="s">
        <v>156</v>
      </c>
      <c r="I121" s="67" t="s">
        <v>124</v>
      </c>
      <c r="J121" s="67" t="s">
        <v>126</v>
      </c>
      <c r="K121" s="70" t="s">
        <v>858</v>
      </c>
      <c r="L121" s="69"/>
      <c r="M121" s="70"/>
      <c r="N121" s="66" t="s">
        <v>881</v>
      </c>
      <c r="O121" s="85" t="s">
        <v>884</v>
      </c>
    </row>
    <row r="122" spans="1:15" ht="30" customHeight="1">
      <c r="A122" s="63"/>
      <c r="B122" s="64" t="s">
        <v>359</v>
      </c>
      <c r="C122" s="65"/>
      <c r="D122" s="65"/>
      <c r="E122" s="71" t="s">
        <v>360</v>
      </c>
      <c r="F122" s="67" t="s">
        <v>136</v>
      </c>
      <c r="G122" s="69" t="s">
        <v>153</v>
      </c>
      <c r="H122" s="67" t="s">
        <v>156</v>
      </c>
      <c r="I122" s="67" t="s">
        <v>124</v>
      </c>
      <c r="J122" s="67" t="s">
        <v>126</v>
      </c>
      <c r="K122" s="70" t="s">
        <v>858</v>
      </c>
      <c r="L122" s="69"/>
      <c r="M122" s="70"/>
      <c r="N122" s="66" t="s">
        <v>881</v>
      </c>
      <c r="O122" s="85" t="s">
        <v>885</v>
      </c>
    </row>
    <row r="123" spans="1:15" ht="30" customHeight="1">
      <c r="A123" s="63"/>
      <c r="B123" s="64" t="s">
        <v>361</v>
      </c>
      <c r="C123" s="65"/>
      <c r="D123" s="65"/>
      <c r="E123" s="79" t="s">
        <v>362</v>
      </c>
      <c r="F123" s="67" t="s">
        <v>136</v>
      </c>
      <c r="G123" s="69" t="s">
        <v>153</v>
      </c>
      <c r="H123" s="67" t="s">
        <v>156</v>
      </c>
      <c r="I123" s="67" t="s">
        <v>124</v>
      </c>
      <c r="J123" s="67" t="s">
        <v>126</v>
      </c>
      <c r="K123" s="70" t="s">
        <v>858</v>
      </c>
      <c r="L123" s="69"/>
      <c r="M123" s="70"/>
      <c r="N123" s="66" t="s">
        <v>881</v>
      </c>
      <c r="O123" s="85" t="s">
        <v>886</v>
      </c>
    </row>
    <row r="124" spans="1:15" ht="30" customHeight="1">
      <c r="A124" s="63"/>
      <c r="B124" s="64" t="s">
        <v>993</v>
      </c>
      <c r="C124" s="65"/>
      <c r="D124" s="65"/>
      <c r="E124" s="71" t="s">
        <v>994</v>
      </c>
      <c r="F124" s="67" t="s">
        <v>136</v>
      </c>
      <c r="G124" s="69" t="s">
        <v>153</v>
      </c>
      <c r="H124" s="67" t="s">
        <v>156</v>
      </c>
      <c r="I124" s="67" t="s">
        <v>124</v>
      </c>
      <c r="J124" s="67" t="s">
        <v>126</v>
      </c>
      <c r="K124" s="70" t="s">
        <v>858</v>
      </c>
      <c r="L124" s="69"/>
      <c r="M124" s="70"/>
      <c r="N124" s="66" t="s">
        <v>881</v>
      </c>
      <c r="O124" s="85" t="s">
        <v>995</v>
      </c>
    </row>
    <row r="125" spans="1:15" ht="30" customHeight="1">
      <c r="A125" s="63"/>
      <c r="B125" s="64" t="s">
        <v>996</v>
      </c>
      <c r="C125" s="65"/>
      <c r="D125" s="65"/>
      <c r="E125" s="71" t="s">
        <v>997</v>
      </c>
      <c r="F125" s="67" t="s">
        <v>136</v>
      </c>
      <c r="G125" s="69" t="s">
        <v>153</v>
      </c>
      <c r="H125" s="67" t="s">
        <v>156</v>
      </c>
      <c r="I125" s="67" t="s">
        <v>124</v>
      </c>
      <c r="J125" s="67" t="s">
        <v>126</v>
      </c>
      <c r="K125" s="70" t="s">
        <v>858</v>
      </c>
      <c r="L125" s="69"/>
      <c r="M125" s="70"/>
      <c r="N125" s="66" t="s">
        <v>881</v>
      </c>
      <c r="O125" s="85" t="s">
        <v>998</v>
      </c>
    </row>
    <row r="126" spans="1:15" ht="30" customHeight="1">
      <c r="A126" s="63"/>
      <c r="B126" s="64" t="s">
        <v>370</v>
      </c>
      <c r="C126" s="65"/>
      <c r="D126" s="65"/>
      <c r="E126" s="71" t="s">
        <v>371</v>
      </c>
      <c r="F126" s="67" t="s">
        <v>136</v>
      </c>
      <c r="G126" s="69" t="s">
        <v>153</v>
      </c>
      <c r="H126" s="67" t="s">
        <v>156</v>
      </c>
      <c r="I126" s="67" t="s">
        <v>124</v>
      </c>
      <c r="J126" s="67" t="s">
        <v>126</v>
      </c>
      <c r="K126" s="70" t="s">
        <v>858</v>
      </c>
      <c r="L126" s="69"/>
      <c r="M126" s="70"/>
      <c r="N126" s="73" t="s">
        <v>830</v>
      </c>
      <c r="O126" s="85"/>
    </row>
    <row r="127" spans="1:15" ht="30" customHeight="1">
      <c r="A127" s="63"/>
      <c r="B127" s="64" t="s">
        <v>372</v>
      </c>
      <c r="C127" s="65"/>
      <c r="D127" s="65"/>
      <c r="E127" s="71" t="s">
        <v>373</v>
      </c>
      <c r="F127" s="67" t="s">
        <v>136</v>
      </c>
      <c r="G127" s="69" t="s">
        <v>153</v>
      </c>
      <c r="H127" s="67" t="s">
        <v>156</v>
      </c>
      <c r="I127" s="67" t="s">
        <v>124</v>
      </c>
      <c r="J127" s="67" t="s">
        <v>126</v>
      </c>
      <c r="K127" s="70" t="s">
        <v>858</v>
      </c>
      <c r="L127" s="69"/>
      <c r="M127" s="70"/>
      <c r="N127" s="71" t="s">
        <v>834</v>
      </c>
      <c r="O127" s="85" t="s">
        <v>887</v>
      </c>
    </row>
    <row r="128" spans="1:15" ht="30" customHeight="1">
      <c r="A128" s="63"/>
      <c r="B128" s="64" t="s">
        <v>374</v>
      </c>
      <c r="C128" s="65"/>
      <c r="D128" s="65"/>
      <c r="E128" s="71" t="s">
        <v>375</v>
      </c>
      <c r="F128" s="67" t="s">
        <v>136</v>
      </c>
      <c r="G128" s="69" t="s">
        <v>153</v>
      </c>
      <c r="H128" s="67" t="s">
        <v>156</v>
      </c>
      <c r="I128" s="67" t="s">
        <v>124</v>
      </c>
      <c r="J128" s="67" t="s">
        <v>126</v>
      </c>
      <c r="K128" s="70" t="s">
        <v>858</v>
      </c>
      <c r="L128" s="69"/>
      <c r="M128" s="70"/>
      <c r="N128" s="71" t="s">
        <v>834</v>
      </c>
      <c r="O128" s="85" t="s">
        <v>888</v>
      </c>
    </row>
    <row r="129" spans="1:16" ht="30" customHeight="1">
      <c r="A129" s="63"/>
      <c r="B129" s="64" t="s">
        <v>376</v>
      </c>
      <c r="C129" s="65"/>
      <c r="D129" s="65"/>
      <c r="E129" s="71" t="s">
        <v>377</v>
      </c>
      <c r="F129" s="67" t="s">
        <v>136</v>
      </c>
      <c r="G129" s="69" t="s">
        <v>153</v>
      </c>
      <c r="H129" s="67" t="s">
        <v>156</v>
      </c>
      <c r="I129" s="67" t="s">
        <v>124</v>
      </c>
      <c r="J129" s="67" t="s">
        <v>126</v>
      </c>
      <c r="K129" s="70" t="s">
        <v>858</v>
      </c>
      <c r="L129" s="69"/>
      <c r="M129" s="70"/>
      <c r="N129" s="71" t="s">
        <v>834</v>
      </c>
      <c r="O129" s="85" t="s">
        <v>889</v>
      </c>
    </row>
    <row r="130" spans="1:16" ht="30" customHeight="1">
      <c r="A130" s="63"/>
      <c r="B130" s="64" t="s">
        <v>378</v>
      </c>
      <c r="C130" s="65"/>
      <c r="D130" s="65"/>
      <c r="E130" s="71" t="s">
        <v>379</v>
      </c>
      <c r="F130" s="67" t="s">
        <v>136</v>
      </c>
      <c r="G130" s="69" t="s">
        <v>153</v>
      </c>
      <c r="H130" s="67" t="s">
        <v>156</v>
      </c>
      <c r="I130" s="67" t="s">
        <v>124</v>
      </c>
      <c r="J130" s="67" t="s">
        <v>126</v>
      </c>
      <c r="K130" s="70" t="s">
        <v>858</v>
      </c>
      <c r="L130" s="69"/>
      <c r="M130" s="70"/>
      <c r="N130" s="73" t="s">
        <v>820</v>
      </c>
      <c r="O130" s="85" t="s">
        <v>890</v>
      </c>
    </row>
    <row r="131" spans="1:16" ht="30" customHeight="1">
      <c r="A131" s="63"/>
      <c r="B131" s="64" t="s">
        <v>1668</v>
      </c>
      <c r="C131" s="65"/>
      <c r="D131" s="65"/>
      <c r="E131" s="71" t="s">
        <v>1669</v>
      </c>
      <c r="F131" s="67" t="s">
        <v>136</v>
      </c>
      <c r="G131" s="69" t="s">
        <v>124</v>
      </c>
      <c r="H131" s="67" t="s">
        <v>156</v>
      </c>
      <c r="I131" s="67" t="s">
        <v>124</v>
      </c>
      <c r="J131" s="67" t="s">
        <v>126</v>
      </c>
      <c r="K131" s="70" t="s">
        <v>1670</v>
      </c>
      <c r="L131" s="69"/>
      <c r="M131" s="70"/>
      <c r="N131" s="71"/>
      <c r="O131" s="85"/>
    </row>
    <row r="132" spans="1:16" ht="30" customHeight="1">
      <c r="A132" s="63"/>
      <c r="B132" s="64" t="s">
        <v>1671</v>
      </c>
      <c r="C132" s="65"/>
      <c r="D132" s="65"/>
      <c r="E132" s="71" t="s">
        <v>1672</v>
      </c>
      <c r="F132" s="67" t="s">
        <v>136</v>
      </c>
      <c r="G132" s="69" t="s">
        <v>124</v>
      </c>
      <c r="H132" s="67" t="s">
        <v>156</v>
      </c>
      <c r="I132" s="67" t="s">
        <v>124</v>
      </c>
      <c r="J132" s="67" t="s">
        <v>126</v>
      </c>
      <c r="K132" s="70" t="s">
        <v>1670</v>
      </c>
      <c r="L132" s="69"/>
      <c r="M132" s="70"/>
      <c r="N132" s="71"/>
      <c r="O132" s="85"/>
    </row>
    <row r="133" spans="1:16" ht="30" customHeight="1">
      <c r="A133" s="63"/>
      <c r="B133" s="64" t="s">
        <v>282</v>
      </c>
      <c r="C133" s="65"/>
      <c r="D133" s="65"/>
      <c r="E133" s="79" t="s">
        <v>381</v>
      </c>
      <c r="F133" s="67" t="s">
        <v>136</v>
      </c>
      <c r="G133" s="69" t="s">
        <v>124</v>
      </c>
      <c r="H133" s="67" t="s">
        <v>156</v>
      </c>
      <c r="I133" s="67" t="s">
        <v>124</v>
      </c>
      <c r="J133" s="67" t="s">
        <v>126</v>
      </c>
      <c r="K133" s="70" t="s">
        <v>858</v>
      </c>
      <c r="L133" s="69"/>
      <c r="M133" s="70"/>
      <c r="N133" s="71"/>
      <c r="O133" s="85" t="s">
        <v>891</v>
      </c>
    </row>
    <row r="134" spans="1:16" ht="30" customHeight="1">
      <c r="A134" s="63"/>
      <c r="B134" s="64" t="s">
        <v>382</v>
      </c>
      <c r="C134" s="65"/>
      <c r="D134" s="65"/>
      <c r="E134" s="71" t="s">
        <v>383</v>
      </c>
      <c r="F134" s="67" t="s">
        <v>136</v>
      </c>
      <c r="G134" s="69" t="s">
        <v>124</v>
      </c>
      <c r="H134" s="67" t="s">
        <v>156</v>
      </c>
      <c r="I134" s="67" t="s">
        <v>124</v>
      </c>
      <c r="J134" s="67" t="s">
        <v>126</v>
      </c>
      <c r="K134" s="70" t="s">
        <v>858</v>
      </c>
      <c r="L134" s="69"/>
      <c r="M134" s="70"/>
      <c r="N134" s="71"/>
      <c r="O134" s="72" t="s">
        <v>892</v>
      </c>
      <c r="P134" s="62" t="s">
        <v>174</v>
      </c>
    </row>
    <row r="135" spans="1:16" ht="30" customHeight="1">
      <c r="A135" s="63"/>
      <c r="B135" s="64" t="s">
        <v>384</v>
      </c>
      <c r="C135" s="65"/>
      <c r="D135" s="65"/>
      <c r="E135" s="71" t="s">
        <v>385</v>
      </c>
      <c r="F135" s="67" t="s">
        <v>136</v>
      </c>
      <c r="G135" s="69" t="s">
        <v>124</v>
      </c>
      <c r="H135" s="67" t="s">
        <v>156</v>
      </c>
      <c r="I135" s="67" t="s">
        <v>124</v>
      </c>
      <c r="J135" s="67" t="s">
        <v>126</v>
      </c>
      <c r="K135" s="70" t="s">
        <v>858</v>
      </c>
      <c r="L135" s="69"/>
      <c r="M135" s="70"/>
      <c r="N135" s="71"/>
      <c r="O135" s="85"/>
    </row>
    <row r="136" spans="1:16" ht="30" customHeight="1">
      <c r="A136" s="63"/>
      <c r="B136" s="64" t="s">
        <v>386</v>
      </c>
      <c r="C136" s="65"/>
      <c r="D136" s="65"/>
      <c r="E136" s="71" t="s">
        <v>387</v>
      </c>
      <c r="F136" s="67" t="s">
        <v>136</v>
      </c>
      <c r="G136" s="69" t="s">
        <v>124</v>
      </c>
      <c r="H136" s="67" t="s">
        <v>156</v>
      </c>
      <c r="I136" s="67" t="s">
        <v>126</v>
      </c>
      <c r="J136" s="67" t="s">
        <v>124</v>
      </c>
      <c r="K136" s="72" t="s">
        <v>893</v>
      </c>
      <c r="L136" s="69"/>
      <c r="M136" s="97" t="s">
        <v>1601</v>
      </c>
      <c r="N136" s="71"/>
      <c r="O136" s="72"/>
    </row>
    <row r="137" spans="1:16" ht="30" customHeight="1">
      <c r="A137" s="63"/>
      <c r="B137" s="64" t="s">
        <v>388</v>
      </c>
      <c r="C137" s="65"/>
      <c r="D137" s="65"/>
      <c r="E137" s="71" t="s">
        <v>389</v>
      </c>
      <c r="F137" s="67" t="s">
        <v>136</v>
      </c>
      <c r="G137" s="69" t="s">
        <v>124</v>
      </c>
      <c r="H137" s="67" t="s">
        <v>156</v>
      </c>
      <c r="I137" s="67" t="s">
        <v>124</v>
      </c>
      <c r="J137" s="67" t="s">
        <v>124</v>
      </c>
      <c r="K137" s="70" t="s">
        <v>858</v>
      </c>
      <c r="L137" s="69"/>
      <c r="M137" s="70"/>
      <c r="N137" s="71"/>
      <c r="O137" s="85"/>
    </row>
    <row r="138" spans="1:16" ht="30" customHeight="1">
      <c r="A138" s="63"/>
      <c r="B138" s="64" t="s">
        <v>390</v>
      </c>
      <c r="C138" s="65"/>
      <c r="D138" s="65"/>
      <c r="E138" s="71" t="s">
        <v>391</v>
      </c>
      <c r="F138" s="67" t="s">
        <v>136</v>
      </c>
      <c r="G138" s="69" t="s">
        <v>153</v>
      </c>
      <c r="H138" s="67" t="s">
        <v>156</v>
      </c>
      <c r="I138" s="67" t="s">
        <v>124</v>
      </c>
      <c r="J138" s="67" t="s">
        <v>124</v>
      </c>
      <c r="K138" s="70" t="s">
        <v>858</v>
      </c>
      <c r="L138" s="69"/>
      <c r="M138" s="70"/>
      <c r="N138" s="71" t="s">
        <v>863</v>
      </c>
      <c r="O138" s="85"/>
    </row>
    <row r="139" spans="1:16" ht="30" customHeight="1">
      <c r="A139" s="63"/>
      <c r="B139" s="64" t="s">
        <v>273</v>
      </c>
      <c r="C139" s="65"/>
      <c r="D139" s="65"/>
      <c r="E139" s="79" t="s">
        <v>392</v>
      </c>
      <c r="F139" s="67" t="s">
        <v>136</v>
      </c>
      <c r="G139" s="69" t="s">
        <v>153</v>
      </c>
      <c r="H139" s="67" t="s">
        <v>156</v>
      </c>
      <c r="I139" s="67" t="s">
        <v>124</v>
      </c>
      <c r="J139" s="67" t="s">
        <v>124</v>
      </c>
      <c r="K139" s="70" t="s">
        <v>858</v>
      </c>
      <c r="L139" s="69"/>
      <c r="M139" s="70"/>
      <c r="N139" s="71" t="s">
        <v>863</v>
      </c>
      <c r="O139" s="85" t="s">
        <v>894</v>
      </c>
    </row>
    <row r="140" spans="1:16" ht="30" customHeight="1">
      <c r="A140" s="63"/>
      <c r="B140" s="64" t="s">
        <v>272</v>
      </c>
      <c r="C140" s="65"/>
      <c r="D140" s="65"/>
      <c r="E140" s="79" t="s">
        <v>393</v>
      </c>
      <c r="F140" s="67" t="s">
        <v>136</v>
      </c>
      <c r="G140" s="69" t="s">
        <v>153</v>
      </c>
      <c r="H140" s="67" t="s">
        <v>156</v>
      </c>
      <c r="I140" s="67" t="s">
        <v>124</v>
      </c>
      <c r="J140" s="67" t="s">
        <v>124</v>
      </c>
      <c r="K140" s="70" t="s">
        <v>858</v>
      </c>
      <c r="L140" s="69"/>
      <c r="M140" s="70"/>
      <c r="N140" s="71" t="s">
        <v>863</v>
      </c>
      <c r="O140" s="85" t="s">
        <v>895</v>
      </c>
    </row>
    <row r="141" spans="1:16" ht="30" customHeight="1">
      <c r="A141" s="63"/>
      <c r="B141" s="64" t="s">
        <v>394</v>
      </c>
      <c r="C141" s="65"/>
      <c r="D141" s="65"/>
      <c r="E141" s="71" t="s">
        <v>395</v>
      </c>
      <c r="F141" s="67" t="s">
        <v>136</v>
      </c>
      <c r="G141" s="69" t="s">
        <v>153</v>
      </c>
      <c r="H141" s="67" t="s">
        <v>156</v>
      </c>
      <c r="I141" s="67" t="s">
        <v>124</v>
      </c>
      <c r="J141" s="67" t="s">
        <v>126</v>
      </c>
      <c r="K141" s="70" t="s">
        <v>858</v>
      </c>
      <c r="L141" s="69"/>
      <c r="M141" s="70"/>
      <c r="N141" s="71" t="s">
        <v>823</v>
      </c>
      <c r="O141" s="72" t="s">
        <v>896</v>
      </c>
    </row>
    <row r="142" spans="1:16" ht="30" customHeight="1">
      <c r="A142" s="63"/>
      <c r="B142" s="64" t="s">
        <v>396</v>
      </c>
      <c r="C142" s="65"/>
      <c r="D142" s="65"/>
      <c r="E142" s="79" t="s">
        <v>397</v>
      </c>
      <c r="F142" s="67" t="s">
        <v>136</v>
      </c>
      <c r="G142" s="69" t="s">
        <v>153</v>
      </c>
      <c r="H142" s="67" t="s">
        <v>156</v>
      </c>
      <c r="I142" s="67" t="s">
        <v>124</v>
      </c>
      <c r="J142" s="67" t="s">
        <v>126</v>
      </c>
      <c r="K142" s="75" t="s">
        <v>897</v>
      </c>
      <c r="L142" s="69"/>
      <c r="M142" s="70"/>
      <c r="N142" s="71" t="s">
        <v>823</v>
      </c>
      <c r="O142" s="72" t="s">
        <v>898</v>
      </c>
    </row>
    <row r="143" spans="1:16" ht="30" customHeight="1">
      <c r="A143" s="63"/>
      <c r="B143" s="64" t="s">
        <v>398</v>
      </c>
      <c r="C143" s="65"/>
      <c r="D143" s="65"/>
      <c r="E143" s="79" t="s">
        <v>399</v>
      </c>
      <c r="F143" s="67" t="s">
        <v>136</v>
      </c>
      <c r="G143" s="69" t="s">
        <v>153</v>
      </c>
      <c r="H143" s="67" t="s">
        <v>156</v>
      </c>
      <c r="I143" s="67" t="s">
        <v>124</v>
      </c>
      <c r="J143" s="67" t="s">
        <v>126</v>
      </c>
      <c r="K143" s="75" t="s">
        <v>899</v>
      </c>
      <c r="L143" s="69"/>
      <c r="M143" s="70"/>
      <c r="N143" s="71" t="s">
        <v>823</v>
      </c>
      <c r="O143" s="72" t="s">
        <v>900</v>
      </c>
    </row>
    <row r="144" spans="1:16" ht="30" customHeight="1">
      <c r="A144" s="63"/>
      <c r="B144" s="64" t="s">
        <v>400</v>
      </c>
      <c r="C144" s="65"/>
      <c r="D144" s="65"/>
      <c r="E144" s="79" t="s">
        <v>401</v>
      </c>
      <c r="F144" s="67" t="s">
        <v>136</v>
      </c>
      <c r="G144" s="69" t="s">
        <v>153</v>
      </c>
      <c r="H144" s="67" t="s">
        <v>156</v>
      </c>
      <c r="I144" s="67" t="s">
        <v>124</v>
      </c>
      <c r="J144" s="67" t="s">
        <v>126</v>
      </c>
      <c r="K144" s="75" t="s">
        <v>901</v>
      </c>
      <c r="L144" s="69"/>
      <c r="M144" s="70"/>
      <c r="N144" s="71" t="s">
        <v>823</v>
      </c>
      <c r="O144" s="72" t="s">
        <v>902</v>
      </c>
    </row>
    <row r="145" spans="1:16" ht="30" customHeight="1">
      <c r="A145" s="63"/>
      <c r="B145" s="64" t="s">
        <v>402</v>
      </c>
      <c r="C145" s="65"/>
      <c r="D145" s="65"/>
      <c r="E145" s="79" t="s">
        <v>403</v>
      </c>
      <c r="F145" s="67" t="s">
        <v>136</v>
      </c>
      <c r="G145" s="69" t="s">
        <v>153</v>
      </c>
      <c r="H145" s="67" t="s">
        <v>156</v>
      </c>
      <c r="I145" s="67" t="s">
        <v>124</v>
      </c>
      <c r="J145" s="67" t="s">
        <v>126</v>
      </c>
      <c r="K145" s="75" t="s">
        <v>897</v>
      </c>
      <c r="L145" s="69"/>
      <c r="M145" s="70"/>
      <c r="N145" s="71" t="s">
        <v>823</v>
      </c>
      <c r="O145" s="72" t="s">
        <v>903</v>
      </c>
    </row>
    <row r="146" spans="1:16" ht="30" customHeight="1">
      <c r="A146" s="63"/>
      <c r="B146" s="64" t="s">
        <v>404</v>
      </c>
      <c r="C146" s="65"/>
      <c r="D146" s="65"/>
      <c r="E146" s="79" t="s">
        <v>405</v>
      </c>
      <c r="F146" s="67" t="s">
        <v>136</v>
      </c>
      <c r="G146" s="69" t="s">
        <v>153</v>
      </c>
      <c r="H146" s="67" t="s">
        <v>156</v>
      </c>
      <c r="I146" s="67" t="s">
        <v>124</v>
      </c>
      <c r="J146" s="67" t="s">
        <v>126</v>
      </c>
      <c r="K146" s="70" t="s">
        <v>858</v>
      </c>
      <c r="L146" s="69"/>
      <c r="M146" s="70"/>
      <c r="N146" s="71" t="s">
        <v>823</v>
      </c>
      <c r="O146" s="72" t="s">
        <v>904</v>
      </c>
    </row>
    <row r="147" spans="1:16" ht="30" customHeight="1">
      <c r="A147" s="63"/>
      <c r="B147" s="64" t="s">
        <v>275</v>
      </c>
      <c r="C147" s="65"/>
      <c r="D147" s="65"/>
      <c r="E147" s="79" t="s">
        <v>406</v>
      </c>
      <c r="F147" s="67" t="s">
        <v>136</v>
      </c>
      <c r="G147" s="69" t="s">
        <v>153</v>
      </c>
      <c r="H147" s="67" t="s">
        <v>156</v>
      </c>
      <c r="I147" s="67" t="s">
        <v>124</v>
      </c>
      <c r="J147" s="67" t="s">
        <v>126</v>
      </c>
      <c r="K147" s="70" t="s">
        <v>858</v>
      </c>
      <c r="L147" s="69"/>
      <c r="M147" s="70"/>
      <c r="N147" s="71" t="s">
        <v>823</v>
      </c>
      <c r="O147" s="72" t="s">
        <v>905</v>
      </c>
    </row>
    <row r="148" spans="1:16" ht="30" customHeight="1">
      <c r="A148" s="63"/>
      <c r="B148" s="64" t="s">
        <v>407</v>
      </c>
      <c r="C148" s="65"/>
      <c r="D148" s="65"/>
      <c r="E148" s="79" t="s">
        <v>408</v>
      </c>
      <c r="F148" s="67" t="s">
        <v>136</v>
      </c>
      <c r="G148" s="69" t="s">
        <v>153</v>
      </c>
      <c r="H148" s="67" t="s">
        <v>156</v>
      </c>
      <c r="I148" s="67" t="s">
        <v>124</v>
      </c>
      <c r="J148" s="67" t="s">
        <v>126</v>
      </c>
      <c r="K148" s="70" t="s">
        <v>858</v>
      </c>
      <c r="L148" s="69"/>
      <c r="M148" s="70"/>
      <c r="N148" s="71" t="s">
        <v>823</v>
      </c>
      <c r="O148" s="72" t="s">
        <v>906</v>
      </c>
    </row>
    <row r="149" spans="1:16" ht="30" customHeight="1">
      <c r="A149" s="63"/>
      <c r="B149" s="64" t="s">
        <v>409</v>
      </c>
      <c r="C149" s="65"/>
      <c r="D149" s="65"/>
      <c r="E149" s="71" t="s">
        <v>410</v>
      </c>
      <c r="F149" s="67" t="s">
        <v>136</v>
      </c>
      <c r="G149" s="69" t="s">
        <v>153</v>
      </c>
      <c r="H149" s="67" t="s">
        <v>156</v>
      </c>
      <c r="I149" s="67" t="s">
        <v>124</v>
      </c>
      <c r="J149" s="67" t="s">
        <v>126</v>
      </c>
      <c r="K149" s="70" t="s">
        <v>858</v>
      </c>
      <c r="L149" s="69"/>
      <c r="M149" s="70"/>
      <c r="N149" s="71" t="s">
        <v>823</v>
      </c>
      <c r="O149" s="85" t="s">
        <v>907</v>
      </c>
    </row>
    <row r="150" spans="1:16" ht="30" customHeight="1">
      <c r="A150" s="63"/>
      <c r="B150" s="64" t="s">
        <v>411</v>
      </c>
      <c r="C150" s="65"/>
      <c r="D150" s="65"/>
      <c r="E150" s="79" t="s">
        <v>412</v>
      </c>
      <c r="F150" s="67" t="s">
        <v>136</v>
      </c>
      <c r="G150" s="69" t="s">
        <v>153</v>
      </c>
      <c r="H150" s="67" t="s">
        <v>156</v>
      </c>
      <c r="I150" s="67" t="s">
        <v>124</v>
      </c>
      <c r="J150" s="67" t="s">
        <v>124</v>
      </c>
      <c r="K150" s="70" t="s">
        <v>858</v>
      </c>
      <c r="L150" s="69"/>
      <c r="M150" s="70"/>
      <c r="N150" s="66" t="s">
        <v>881</v>
      </c>
      <c r="O150" s="85" t="s">
        <v>908</v>
      </c>
    </row>
    <row r="151" spans="1:16" ht="30" customHeight="1">
      <c r="A151" s="63"/>
      <c r="B151" s="64" t="s">
        <v>413</v>
      </c>
      <c r="C151" s="65"/>
      <c r="D151" s="65"/>
      <c r="E151" s="79" t="s">
        <v>414</v>
      </c>
      <c r="F151" s="67" t="s">
        <v>136</v>
      </c>
      <c r="G151" s="69" t="s">
        <v>153</v>
      </c>
      <c r="H151" s="67" t="s">
        <v>156</v>
      </c>
      <c r="I151" s="67" t="s">
        <v>124</v>
      </c>
      <c r="J151" s="67" t="s">
        <v>126</v>
      </c>
      <c r="K151" s="70" t="s">
        <v>858</v>
      </c>
      <c r="L151" s="69"/>
      <c r="M151" s="70"/>
      <c r="N151" s="66" t="s">
        <v>821</v>
      </c>
      <c r="O151" s="72" t="s">
        <v>909</v>
      </c>
    </row>
    <row r="152" spans="1:16" ht="30" customHeight="1">
      <c r="A152" s="63"/>
      <c r="B152" s="64" t="s">
        <v>415</v>
      </c>
      <c r="C152" s="65"/>
      <c r="D152" s="65"/>
      <c r="E152" s="71" t="s">
        <v>416</v>
      </c>
      <c r="F152" s="67" t="s">
        <v>136</v>
      </c>
      <c r="G152" s="69" t="s">
        <v>124</v>
      </c>
      <c r="H152" s="67" t="s">
        <v>156</v>
      </c>
      <c r="I152" s="67" t="s">
        <v>124</v>
      </c>
      <c r="J152" s="67" t="s">
        <v>126</v>
      </c>
      <c r="K152" s="70" t="s">
        <v>858</v>
      </c>
      <c r="L152" s="69"/>
      <c r="M152" s="70"/>
      <c r="N152" s="71"/>
      <c r="O152" s="72" t="s">
        <v>910</v>
      </c>
      <c r="P152" s="62" t="s">
        <v>174</v>
      </c>
    </row>
    <row r="153" spans="1:16" ht="30" customHeight="1">
      <c r="A153" s="63"/>
      <c r="B153" s="64" t="s">
        <v>417</v>
      </c>
      <c r="C153" s="65"/>
      <c r="D153" s="65"/>
      <c r="E153" s="79" t="s">
        <v>418</v>
      </c>
      <c r="F153" s="67" t="s">
        <v>136</v>
      </c>
      <c r="G153" s="69" t="s">
        <v>124</v>
      </c>
      <c r="H153" s="67" t="s">
        <v>156</v>
      </c>
      <c r="I153" s="67" t="s">
        <v>124</v>
      </c>
      <c r="J153" s="67" t="s">
        <v>126</v>
      </c>
      <c r="K153" s="75" t="s">
        <v>911</v>
      </c>
      <c r="L153" s="69"/>
      <c r="M153" s="70">
        <v>2000</v>
      </c>
      <c r="N153" s="71"/>
      <c r="O153" s="72"/>
    </row>
    <row r="154" spans="1:16" ht="30" customHeight="1">
      <c r="A154" s="63"/>
      <c r="B154" s="64" t="s">
        <v>419</v>
      </c>
      <c r="C154" s="65"/>
      <c r="D154" s="65"/>
      <c r="E154" s="71" t="s">
        <v>420</v>
      </c>
      <c r="F154" s="67" t="s">
        <v>136</v>
      </c>
      <c r="G154" s="69" t="s">
        <v>124</v>
      </c>
      <c r="H154" s="67" t="s">
        <v>156</v>
      </c>
      <c r="I154" s="67" t="s">
        <v>124</v>
      </c>
      <c r="J154" s="67" t="s">
        <v>126</v>
      </c>
      <c r="K154" s="75" t="s">
        <v>912</v>
      </c>
      <c r="L154" s="69"/>
      <c r="M154" s="70"/>
      <c r="N154" s="71"/>
      <c r="O154" s="85"/>
    </row>
    <row r="155" spans="1:16" ht="30" customHeight="1">
      <c r="A155" s="76"/>
      <c r="B155" s="64" t="s">
        <v>421</v>
      </c>
      <c r="C155" s="65"/>
      <c r="D155" s="65"/>
      <c r="E155" s="79" t="s">
        <v>422</v>
      </c>
      <c r="F155" s="67" t="s">
        <v>136</v>
      </c>
      <c r="G155" s="69" t="s">
        <v>124</v>
      </c>
      <c r="H155" s="67" t="s">
        <v>156</v>
      </c>
      <c r="I155" s="67" t="s">
        <v>124</v>
      </c>
      <c r="J155" s="67" t="s">
        <v>126</v>
      </c>
      <c r="K155" s="68"/>
      <c r="L155" s="69"/>
      <c r="M155" s="70">
        <v>30000</v>
      </c>
      <c r="N155" s="71"/>
      <c r="O155" s="85"/>
    </row>
    <row r="156" spans="1:16" ht="30" customHeight="1">
      <c r="A156" s="63"/>
      <c r="B156" s="96" t="s">
        <v>423</v>
      </c>
      <c r="C156" s="65"/>
      <c r="D156" s="65"/>
      <c r="E156" s="66" t="s">
        <v>424</v>
      </c>
      <c r="F156" s="67" t="s">
        <v>136</v>
      </c>
      <c r="G156" s="69" t="s">
        <v>153</v>
      </c>
      <c r="H156" s="67" t="s">
        <v>156</v>
      </c>
      <c r="I156" s="67" t="s">
        <v>124</v>
      </c>
      <c r="J156" s="67" t="s">
        <v>126</v>
      </c>
      <c r="K156" s="75" t="s">
        <v>913</v>
      </c>
      <c r="L156" s="69"/>
      <c r="M156" s="70"/>
      <c r="N156" s="71" t="s">
        <v>914</v>
      </c>
      <c r="O156" s="72" t="s">
        <v>915</v>
      </c>
    </row>
    <row r="157" spans="1:16" ht="30" customHeight="1">
      <c r="A157" s="63"/>
      <c r="B157" s="81" t="s">
        <v>425</v>
      </c>
      <c r="C157" s="65"/>
      <c r="D157" s="65"/>
      <c r="E157" s="71" t="s">
        <v>426</v>
      </c>
      <c r="F157" s="67" t="s">
        <v>136</v>
      </c>
      <c r="G157" s="69" t="s">
        <v>124</v>
      </c>
      <c r="H157" s="67" t="s">
        <v>156</v>
      </c>
      <c r="I157" s="67" t="s">
        <v>124</v>
      </c>
      <c r="J157" s="67" t="s">
        <v>126</v>
      </c>
      <c r="K157" s="75" t="s">
        <v>858</v>
      </c>
      <c r="L157" s="69"/>
      <c r="M157" s="70"/>
      <c r="N157" s="71"/>
      <c r="O157" s="72" t="s">
        <v>916</v>
      </c>
      <c r="P157" s="62" t="s">
        <v>174</v>
      </c>
    </row>
    <row r="158" spans="1:16" ht="30" customHeight="1">
      <c r="A158" s="63"/>
      <c r="B158" s="64" t="s">
        <v>427</v>
      </c>
      <c r="C158" s="65"/>
      <c r="D158" s="65"/>
      <c r="E158" s="71" t="s">
        <v>428</v>
      </c>
      <c r="F158" s="67" t="s">
        <v>136</v>
      </c>
      <c r="G158" s="69" t="s">
        <v>124</v>
      </c>
      <c r="H158" s="67" t="s">
        <v>156</v>
      </c>
      <c r="I158" s="67" t="s">
        <v>124</v>
      </c>
      <c r="J158" s="67" t="s">
        <v>126</v>
      </c>
      <c r="K158" s="75" t="s">
        <v>858</v>
      </c>
      <c r="L158" s="69"/>
      <c r="M158" s="70"/>
      <c r="N158" s="71"/>
      <c r="O158" s="72" t="s">
        <v>917</v>
      </c>
      <c r="P158" s="62" t="s">
        <v>174</v>
      </c>
    </row>
    <row r="159" spans="1:16" ht="30" customHeight="1">
      <c r="A159" s="63"/>
      <c r="B159" s="64" t="s">
        <v>429</v>
      </c>
      <c r="C159" s="65"/>
      <c r="D159" s="65"/>
      <c r="E159" s="71" t="s">
        <v>430</v>
      </c>
      <c r="F159" s="67" t="s">
        <v>136</v>
      </c>
      <c r="G159" s="69" t="s">
        <v>153</v>
      </c>
      <c r="H159" s="67" t="s">
        <v>156</v>
      </c>
      <c r="I159" s="67" t="s">
        <v>124</v>
      </c>
      <c r="J159" s="67" t="s">
        <v>126</v>
      </c>
      <c r="K159" s="75" t="s">
        <v>858</v>
      </c>
      <c r="L159" s="69"/>
      <c r="M159" s="70"/>
      <c r="N159" s="66" t="s">
        <v>821</v>
      </c>
      <c r="O159" s="72" t="s">
        <v>918</v>
      </c>
    </row>
    <row r="160" spans="1:16" ht="30" customHeight="1">
      <c r="A160" s="63"/>
      <c r="B160" s="64" t="s">
        <v>431</v>
      </c>
      <c r="C160" s="65"/>
      <c r="D160" s="65"/>
      <c r="E160" s="71" t="s">
        <v>432</v>
      </c>
      <c r="F160" s="67" t="s">
        <v>136</v>
      </c>
      <c r="G160" s="69" t="s">
        <v>153</v>
      </c>
      <c r="H160" s="67" t="s">
        <v>156</v>
      </c>
      <c r="I160" s="67" t="s">
        <v>124</v>
      </c>
      <c r="J160" s="67" t="s">
        <v>126</v>
      </c>
      <c r="K160" s="75" t="s">
        <v>858</v>
      </c>
      <c r="L160" s="69"/>
      <c r="M160" s="70"/>
      <c r="N160" s="66" t="s">
        <v>821</v>
      </c>
      <c r="O160" s="72" t="s">
        <v>919</v>
      </c>
    </row>
    <row r="161" spans="1:15" ht="30" customHeight="1">
      <c r="A161" s="63"/>
      <c r="B161" s="64" t="s">
        <v>433</v>
      </c>
      <c r="C161" s="65"/>
      <c r="D161" s="65"/>
      <c r="E161" s="71" t="s">
        <v>434</v>
      </c>
      <c r="F161" s="67" t="s">
        <v>136</v>
      </c>
      <c r="G161" s="69" t="s">
        <v>153</v>
      </c>
      <c r="H161" s="67" t="s">
        <v>156</v>
      </c>
      <c r="I161" s="67" t="s">
        <v>124</v>
      </c>
      <c r="J161" s="67" t="s">
        <v>126</v>
      </c>
      <c r="K161" s="75" t="s">
        <v>858</v>
      </c>
      <c r="L161" s="69"/>
      <c r="M161" s="70"/>
      <c r="N161" s="73" t="s">
        <v>831</v>
      </c>
      <c r="O161" s="72" t="s">
        <v>920</v>
      </c>
    </row>
    <row r="162" spans="1:15" ht="30" customHeight="1">
      <c r="A162" s="63"/>
      <c r="B162" s="64" t="s">
        <v>435</v>
      </c>
      <c r="C162" s="65"/>
      <c r="D162" s="65"/>
      <c r="E162" s="71" t="s">
        <v>436</v>
      </c>
      <c r="F162" s="67" t="s">
        <v>136</v>
      </c>
      <c r="G162" s="69" t="s">
        <v>153</v>
      </c>
      <c r="H162" s="67" t="s">
        <v>156</v>
      </c>
      <c r="I162" s="67" t="s">
        <v>124</v>
      </c>
      <c r="J162" s="67" t="s">
        <v>126</v>
      </c>
      <c r="K162" s="75" t="s">
        <v>921</v>
      </c>
      <c r="L162" s="69"/>
      <c r="M162" s="70"/>
      <c r="N162" s="71" t="s">
        <v>830</v>
      </c>
      <c r="O162" s="72" t="s">
        <v>922</v>
      </c>
    </row>
    <row r="163" spans="1:15" ht="30" customHeight="1">
      <c r="A163" s="63"/>
      <c r="B163" s="64" t="s">
        <v>437</v>
      </c>
      <c r="C163" s="65"/>
      <c r="D163" s="65"/>
      <c r="E163" s="71" t="s">
        <v>438</v>
      </c>
      <c r="F163" s="67" t="s">
        <v>136</v>
      </c>
      <c r="G163" s="69" t="s">
        <v>153</v>
      </c>
      <c r="H163" s="67" t="s">
        <v>156</v>
      </c>
      <c r="I163" s="67" t="s">
        <v>124</v>
      </c>
      <c r="J163" s="67" t="s">
        <v>126</v>
      </c>
      <c r="K163" s="75" t="s">
        <v>858</v>
      </c>
      <c r="L163" s="69"/>
      <c r="M163" s="70"/>
      <c r="N163" s="71" t="s">
        <v>830</v>
      </c>
      <c r="O163" s="72" t="s">
        <v>923</v>
      </c>
    </row>
    <row r="164" spans="1:15" ht="30" customHeight="1">
      <c r="A164" s="63"/>
      <c r="B164" s="64" t="s">
        <v>439</v>
      </c>
      <c r="C164" s="65"/>
      <c r="D164" s="65"/>
      <c r="E164" s="71" t="s">
        <v>440</v>
      </c>
      <c r="F164" s="67" t="s">
        <v>136</v>
      </c>
      <c r="G164" s="69" t="s">
        <v>153</v>
      </c>
      <c r="H164" s="67" t="s">
        <v>156</v>
      </c>
      <c r="I164" s="67" t="s">
        <v>124</v>
      </c>
      <c r="J164" s="67" t="s">
        <v>126</v>
      </c>
      <c r="K164" s="75" t="s">
        <v>858</v>
      </c>
      <c r="L164" s="69"/>
      <c r="M164" s="70"/>
      <c r="N164" s="71" t="s">
        <v>830</v>
      </c>
      <c r="O164" s="85" t="s">
        <v>924</v>
      </c>
    </row>
    <row r="165" spans="1:15" ht="30" customHeight="1">
      <c r="A165" s="63"/>
      <c r="B165" s="64" t="s">
        <v>441</v>
      </c>
      <c r="C165" s="65"/>
      <c r="D165" s="65"/>
      <c r="E165" s="71" t="s">
        <v>442</v>
      </c>
      <c r="F165" s="67" t="s">
        <v>136</v>
      </c>
      <c r="G165" s="69" t="s">
        <v>153</v>
      </c>
      <c r="H165" s="67" t="s">
        <v>156</v>
      </c>
      <c r="I165" s="67" t="s">
        <v>124</v>
      </c>
      <c r="J165" s="67" t="s">
        <v>126</v>
      </c>
      <c r="K165" s="75" t="s">
        <v>858</v>
      </c>
      <c r="L165" s="69"/>
      <c r="M165" s="70"/>
      <c r="N165" s="71" t="s">
        <v>1602</v>
      </c>
      <c r="O165" s="72" t="s">
        <v>955</v>
      </c>
    </row>
    <row r="166" spans="1:15" ht="30" customHeight="1">
      <c r="A166" s="63"/>
      <c r="B166" s="64" t="s">
        <v>443</v>
      </c>
      <c r="C166" s="65"/>
      <c r="D166" s="65"/>
      <c r="E166" s="71" t="s">
        <v>444</v>
      </c>
      <c r="F166" s="67" t="s">
        <v>136</v>
      </c>
      <c r="G166" s="69" t="s">
        <v>153</v>
      </c>
      <c r="H166" s="67" t="s">
        <v>156</v>
      </c>
      <c r="I166" s="67" t="s">
        <v>124</v>
      </c>
      <c r="J166" s="67" t="s">
        <v>126</v>
      </c>
      <c r="K166" s="75" t="s">
        <v>858</v>
      </c>
      <c r="L166" s="69"/>
      <c r="M166" s="70"/>
      <c r="N166" s="71" t="s">
        <v>1602</v>
      </c>
      <c r="O166" s="85" t="s">
        <v>956</v>
      </c>
    </row>
    <row r="167" spans="1:15" ht="30" customHeight="1">
      <c r="A167" s="63"/>
      <c r="B167" s="64" t="s">
        <v>445</v>
      </c>
      <c r="C167" s="65"/>
      <c r="D167" s="65"/>
      <c r="E167" s="71" t="s">
        <v>446</v>
      </c>
      <c r="F167" s="98" t="s">
        <v>136</v>
      </c>
      <c r="G167" s="69" t="s">
        <v>153</v>
      </c>
      <c r="H167" s="67" t="s">
        <v>156</v>
      </c>
      <c r="I167" s="67" t="s">
        <v>124</v>
      </c>
      <c r="J167" s="67" t="s">
        <v>126</v>
      </c>
      <c r="K167" s="75" t="s">
        <v>858</v>
      </c>
      <c r="L167" s="69"/>
      <c r="M167" s="70"/>
      <c r="N167" s="71" t="s">
        <v>820</v>
      </c>
      <c r="O167" s="85" t="s">
        <v>1603</v>
      </c>
    </row>
    <row r="168" spans="1:15" ht="30" customHeight="1">
      <c r="A168" s="63"/>
      <c r="B168" s="64" t="s">
        <v>447</v>
      </c>
      <c r="C168" s="65"/>
      <c r="D168" s="65"/>
      <c r="E168" s="71" t="s">
        <v>448</v>
      </c>
      <c r="F168" s="67" t="s">
        <v>136</v>
      </c>
      <c r="G168" s="69" t="s">
        <v>153</v>
      </c>
      <c r="H168" s="67" t="s">
        <v>156</v>
      </c>
      <c r="I168" s="67" t="s">
        <v>124</v>
      </c>
      <c r="J168" s="67" t="s">
        <v>126</v>
      </c>
      <c r="K168" s="75" t="s">
        <v>858</v>
      </c>
      <c r="L168" s="69"/>
      <c r="M168" s="70"/>
      <c r="N168" s="71" t="s">
        <v>834</v>
      </c>
      <c r="O168" s="72" t="s">
        <v>925</v>
      </c>
    </row>
    <row r="169" spans="1:15" ht="30" customHeight="1">
      <c r="A169" s="63"/>
      <c r="B169" s="64" t="s">
        <v>274</v>
      </c>
      <c r="C169" s="65"/>
      <c r="D169" s="65"/>
      <c r="E169" s="71" t="s">
        <v>449</v>
      </c>
      <c r="F169" s="98" t="s">
        <v>136</v>
      </c>
      <c r="G169" s="69" t="s">
        <v>124</v>
      </c>
      <c r="H169" s="67" t="s">
        <v>156</v>
      </c>
      <c r="I169" s="67" t="s">
        <v>126</v>
      </c>
      <c r="J169" s="67" t="s">
        <v>124</v>
      </c>
      <c r="K169" s="75" t="s">
        <v>858</v>
      </c>
      <c r="L169" s="69"/>
      <c r="M169" s="70"/>
      <c r="N169" s="71"/>
      <c r="O169" s="85" t="s">
        <v>926</v>
      </c>
    </row>
    <row r="170" spans="1:15" ht="30" customHeight="1">
      <c r="A170" s="63"/>
      <c r="B170" s="64" t="s">
        <v>276</v>
      </c>
      <c r="C170" s="65"/>
      <c r="D170" s="65"/>
      <c r="E170" s="79" t="s">
        <v>450</v>
      </c>
      <c r="F170" s="98" t="s">
        <v>136</v>
      </c>
      <c r="G170" s="69" t="s">
        <v>124</v>
      </c>
      <c r="H170" s="67" t="s">
        <v>156</v>
      </c>
      <c r="I170" s="67" t="s">
        <v>124</v>
      </c>
      <c r="J170" s="67" t="s">
        <v>126</v>
      </c>
      <c r="K170" s="75" t="s">
        <v>858</v>
      </c>
      <c r="L170" s="69"/>
      <c r="M170" s="70"/>
      <c r="N170" s="71"/>
      <c r="O170" s="85" t="s">
        <v>927</v>
      </c>
    </row>
    <row r="171" spans="1:15" ht="30" customHeight="1">
      <c r="A171" s="63"/>
      <c r="B171" s="64" t="s">
        <v>277</v>
      </c>
      <c r="C171" s="65"/>
      <c r="D171" s="65"/>
      <c r="E171" s="71" t="s">
        <v>451</v>
      </c>
      <c r="F171" s="98" t="s">
        <v>136</v>
      </c>
      <c r="G171" s="69" t="s">
        <v>124</v>
      </c>
      <c r="H171" s="67" t="s">
        <v>156</v>
      </c>
      <c r="I171" s="67" t="s">
        <v>124</v>
      </c>
      <c r="J171" s="67" t="s">
        <v>126</v>
      </c>
      <c r="K171" s="75" t="s">
        <v>858</v>
      </c>
      <c r="L171" s="69"/>
      <c r="M171" s="70"/>
      <c r="N171" s="71"/>
      <c r="O171" s="85" t="s">
        <v>928</v>
      </c>
    </row>
    <row r="172" spans="1:15" ht="30" customHeight="1">
      <c r="A172" s="63"/>
      <c r="B172" s="64" t="s">
        <v>281</v>
      </c>
      <c r="C172" s="65"/>
      <c r="D172" s="65"/>
      <c r="E172" s="79" t="s">
        <v>452</v>
      </c>
      <c r="F172" s="98" t="s">
        <v>136</v>
      </c>
      <c r="G172" s="69" t="s">
        <v>124</v>
      </c>
      <c r="H172" s="67" t="s">
        <v>156</v>
      </c>
      <c r="I172" s="67" t="s">
        <v>124</v>
      </c>
      <c r="J172" s="67" t="s">
        <v>126</v>
      </c>
      <c r="K172" s="75" t="s">
        <v>858</v>
      </c>
      <c r="L172" s="69"/>
      <c r="M172" s="70"/>
      <c r="N172" s="71"/>
      <c r="O172" s="85" t="s">
        <v>929</v>
      </c>
    </row>
    <row r="173" spans="1:15" ht="30" customHeight="1">
      <c r="A173" s="63"/>
      <c r="B173" s="64" t="s">
        <v>280</v>
      </c>
      <c r="C173" s="65"/>
      <c r="D173" s="65"/>
      <c r="E173" s="79" t="s">
        <v>453</v>
      </c>
      <c r="F173" s="98" t="s">
        <v>136</v>
      </c>
      <c r="G173" s="69" t="s">
        <v>124</v>
      </c>
      <c r="H173" s="67" t="s">
        <v>156</v>
      </c>
      <c r="I173" s="67" t="s">
        <v>124</v>
      </c>
      <c r="J173" s="67" t="s">
        <v>126</v>
      </c>
      <c r="K173" s="75" t="s">
        <v>858</v>
      </c>
      <c r="L173" s="69"/>
      <c r="M173" s="70"/>
      <c r="N173" s="71"/>
      <c r="O173" s="85" t="s">
        <v>930</v>
      </c>
    </row>
    <row r="174" spans="1:15" ht="30" customHeight="1">
      <c r="A174" s="63"/>
      <c r="B174" s="64" t="s">
        <v>278</v>
      </c>
      <c r="C174" s="65"/>
      <c r="D174" s="65"/>
      <c r="E174" s="79" t="s">
        <v>454</v>
      </c>
      <c r="F174" s="98" t="s">
        <v>136</v>
      </c>
      <c r="G174" s="69" t="s">
        <v>124</v>
      </c>
      <c r="H174" s="67" t="s">
        <v>156</v>
      </c>
      <c r="I174" s="67" t="s">
        <v>124</v>
      </c>
      <c r="J174" s="67" t="s">
        <v>126</v>
      </c>
      <c r="K174" s="75" t="s">
        <v>858</v>
      </c>
      <c r="L174" s="69"/>
      <c r="M174" s="70"/>
      <c r="N174" s="71"/>
      <c r="O174" s="85" t="s">
        <v>931</v>
      </c>
    </row>
    <row r="175" spans="1:15" ht="30" customHeight="1">
      <c r="A175" s="63"/>
      <c r="B175" s="64" t="s">
        <v>279</v>
      </c>
      <c r="C175" s="65"/>
      <c r="D175" s="65"/>
      <c r="E175" s="79" t="s">
        <v>455</v>
      </c>
      <c r="F175" s="98" t="s">
        <v>136</v>
      </c>
      <c r="G175" s="69" t="s">
        <v>124</v>
      </c>
      <c r="H175" s="67" t="s">
        <v>156</v>
      </c>
      <c r="I175" s="67" t="s">
        <v>124</v>
      </c>
      <c r="J175" s="67" t="s">
        <v>126</v>
      </c>
      <c r="K175" s="75" t="s">
        <v>858</v>
      </c>
      <c r="L175" s="69"/>
      <c r="M175" s="70"/>
      <c r="N175" s="71"/>
      <c r="O175" s="85" t="s">
        <v>932</v>
      </c>
    </row>
    <row r="176" spans="1:15" ht="30" customHeight="1">
      <c r="A176" s="76"/>
      <c r="B176" s="64" t="s">
        <v>283</v>
      </c>
      <c r="C176" s="65"/>
      <c r="D176" s="65"/>
      <c r="E176" s="79" t="s">
        <v>456</v>
      </c>
      <c r="F176" s="98" t="s">
        <v>136</v>
      </c>
      <c r="G176" s="69" t="s">
        <v>153</v>
      </c>
      <c r="H176" s="67" t="s">
        <v>156</v>
      </c>
      <c r="I176" s="67" t="s">
        <v>124</v>
      </c>
      <c r="J176" s="67" t="s">
        <v>126</v>
      </c>
      <c r="K176" s="75" t="s">
        <v>858</v>
      </c>
      <c r="L176" s="69"/>
      <c r="M176" s="70"/>
      <c r="N176" s="74" t="s">
        <v>1604</v>
      </c>
      <c r="O176" s="72" t="s">
        <v>957</v>
      </c>
    </row>
    <row r="177" spans="1:15" ht="30" customHeight="1">
      <c r="A177" s="76"/>
      <c r="B177" s="64" t="s">
        <v>457</v>
      </c>
      <c r="C177" s="65"/>
      <c r="D177" s="65"/>
      <c r="E177" s="71" t="s">
        <v>958</v>
      </c>
      <c r="F177" s="69" t="s">
        <v>136</v>
      </c>
      <c r="G177" s="69" t="s">
        <v>153</v>
      </c>
      <c r="H177" s="69" t="s">
        <v>156</v>
      </c>
      <c r="I177" s="69" t="s">
        <v>124</v>
      </c>
      <c r="J177" s="69" t="s">
        <v>126</v>
      </c>
      <c r="K177" s="70" t="s">
        <v>858</v>
      </c>
      <c r="L177" s="69"/>
      <c r="M177" s="70"/>
      <c r="N177" s="74" t="s">
        <v>1563</v>
      </c>
      <c r="O177" s="91" t="s">
        <v>959</v>
      </c>
    </row>
    <row r="178" spans="1:15" ht="30" customHeight="1">
      <c r="A178" s="76"/>
      <c r="B178" s="64" t="s">
        <v>938</v>
      </c>
      <c r="C178" s="65"/>
      <c r="D178" s="65"/>
      <c r="E178" s="79" t="s">
        <v>458</v>
      </c>
      <c r="F178" s="98" t="s">
        <v>136</v>
      </c>
      <c r="G178" s="69" t="s">
        <v>153</v>
      </c>
      <c r="H178" s="67" t="s">
        <v>156</v>
      </c>
      <c r="I178" s="67" t="s">
        <v>124</v>
      </c>
      <c r="J178" s="67" t="s">
        <v>126</v>
      </c>
      <c r="K178" s="70" t="s">
        <v>858</v>
      </c>
      <c r="L178" s="69"/>
      <c r="M178" s="70"/>
      <c r="N178" s="74" t="s">
        <v>1604</v>
      </c>
      <c r="O178" s="72" t="s">
        <v>960</v>
      </c>
    </row>
    <row r="179" spans="1:15" ht="30" customHeight="1">
      <c r="A179" s="76"/>
      <c r="B179" s="64" t="s">
        <v>284</v>
      </c>
      <c r="C179" s="65"/>
      <c r="D179" s="65"/>
      <c r="E179" s="79" t="s">
        <v>459</v>
      </c>
      <c r="F179" s="98" t="s">
        <v>136</v>
      </c>
      <c r="G179" s="69" t="s">
        <v>153</v>
      </c>
      <c r="H179" s="67" t="s">
        <v>156</v>
      </c>
      <c r="I179" s="67" t="s">
        <v>124</v>
      </c>
      <c r="J179" s="67" t="s">
        <v>126</v>
      </c>
      <c r="K179" s="70" t="s">
        <v>858</v>
      </c>
      <c r="L179" s="69"/>
      <c r="M179" s="70"/>
      <c r="N179" s="74" t="s">
        <v>1573</v>
      </c>
      <c r="O179" s="85" t="s">
        <v>961</v>
      </c>
    </row>
    <row r="180" spans="1:15" ht="30" customHeight="1">
      <c r="A180" s="76"/>
      <c r="B180" s="64" t="s">
        <v>1025</v>
      </c>
      <c r="C180" s="65"/>
      <c r="D180" s="65"/>
      <c r="E180" s="71" t="s">
        <v>1027</v>
      </c>
      <c r="F180" s="98" t="s">
        <v>136</v>
      </c>
      <c r="G180" s="69" t="s">
        <v>153</v>
      </c>
      <c r="H180" s="67" t="s">
        <v>156</v>
      </c>
      <c r="I180" s="67" t="s">
        <v>124</v>
      </c>
      <c r="J180" s="67" t="s">
        <v>126</v>
      </c>
      <c r="K180" s="70" t="s">
        <v>858</v>
      </c>
      <c r="L180" s="69"/>
      <c r="M180" s="70"/>
      <c r="N180" s="74" t="s">
        <v>1605</v>
      </c>
      <c r="O180" s="85" t="s">
        <v>1606</v>
      </c>
    </row>
    <row r="181" spans="1:15" ht="30" customHeight="1">
      <c r="A181" s="76"/>
      <c r="B181" s="64" t="s">
        <v>285</v>
      </c>
      <c r="C181" s="65"/>
      <c r="D181" s="65"/>
      <c r="E181" s="71" t="s">
        <v>962</v>
      </c>
      <c r="F181" s="98" t="s">
        <v>136</v>
      </c>
      <c r="G181" s="69" t="s">
        <v>153</v>
      </c>
      <c r="H181" s="67" t="s">
        <v>156</v>
      </c>
      <c r="I181" s="67" t="s">
        <v>124</v>
      </c>
      <c r="J181" s="67" t="s">
        <v>126</v>
      </c>
      <c r="K181" s="70" t="s">
        <v>858</v>
      </c>
      <c r="L181" s="69"/>
      <c r="M181" s="70"/>
      <c r="N181" s="74" t="s">
        <v>1605</v>
      </c>
      <c r="O181" s="72" t="s">
        <v>963</v>
      </c>
    </row>
    <row r="182" spans="1:15" ht="30" customHeight="1">
      <c r="A182" s="76"/>
      <c r="B182" s="64" t="s">
        <v>287</v>
      </c>
      <c r="C182" s="65"/>
      <c r="D182" s="65"/>
      <c r="E182" s="71" t="s">
        <v>460</v>
      </c>
      <c r="F182" s="98" t="s">
        <v>136</v>
      </c>
      <c r="G182" s="69" t="s">
        <v>153</v>
      </c>
      <c r="H182" s="67" t="s">
        <v>156</v>
      </c>
      <c r="I182" s="67" t="s">
        <v>124</v>
      </c>
      <c r="J182" s="67" t="s">
        <v>126</v>
      </c>
      <c r="K182" s="70" t="s">
        <v>858</v>
      </c>
      <c r="L182" s="69"/>
      <c r="M182" s="70"/>
      <c r="N182" s="74" t="s">
        <v>1564</v>
      </c>
      <c r="O182" s="72" t="s">
        <v>933</v>
      </c>
    </row>
    <row r="183" spans="1:15" ht="30" customHeight="1">
      <c r="A183" s="76"/>
      <c r="B183" s="64" t="s">
        <v>461</v>
      </c>
      <c r="C183" s="65"/>
      <c r="D183" s="65"/>
      <c r="E183" s="71" t="s">
        <v>462</v>
      </c>
      <c r="F183" s="98" t="s">
        <v>136</v>
      </c>
      <c r="G183" s="69" t="s">
        <v>153</v>
      </c>
      <c r="H183" s="67" t="s">
        <v>156</v>
      </c>
      <c r="I183" s="67" t="s">
        <v>124</v>
      </c>
      <c r="J183" s="67" t="s">
        <v>126</v>
      </c>
      <c r="K183" s="70" t="s">
        <v>858</v>
      </c>
      <c r="L183" s="69"/>
      <c r="M183" s="70"/>
      <c r="N183" s="74" t="s">
        <v>1564</v>
      </c>
      <c r="O183" s="72" t="s">
        <v>934</v>
      </c>
    </row>
    <row r="184" spans="1:15" ht="30" customHeight="1">
      <c r="A184" s="76"/>
      <c r="B184" s="64" t="s">
        <v>463</v>
      </c>
      <c r="C184" s="65"/>
      <c r="D184" s="65"/>
      <c r="E184" s="71" t="s">
        <v>964</v>
      </c>
      <c r="F184" s="67" t="s">
        <v>136</v>
      </c>
      <c r="G184" s="69" t="s">
        <v>153</v>
      </c>
      <c r="H184" s="67" t="s">
        <v>156</v>
      </c>
      <c r="I184" s="67" t="s">
        <v>124</v>
      </c>
      <c r="J184" s="67" t="s">
        <v>126</v>
      </c>
      <c r="K184" s="70" t="s">
        <v>858</v>
      </c>
      <c r="L184" s="69"/>
      <c r="M184" s="70"/>
      <c r="N184" s="74" t="s">
        <v>1558</v>
      </c>
      <c r="O184" s="85" t="s">
        <v>965</v>
      </c>
    </row>
    <row r="185" spans="1:15" ht="30" customHeight="1">
      <c r="A185" s="76"/>
      <c r="B185" s="64" t="s">
        <v>464</v>
      </c>
      <c r="C185" s="65"/>
      <c r="D185" s="65"/>
      <c r="E185" s="71" t="s">
        <v>966</v>
      </c>
      <c r="F185" s="67" t="s">
        <v>136</v>
      </c>
      <c r="G185" s="69" t="s">
        <v>153</v>
      </c>
      <c r="H185" s="67" t="s">
        <v>156</v>
      </c>
      <c r="I185" s="67" t="s">
        <v>124</v>
      </c>
      <c r="J185" s="67" t="s">
        <v>126</v>
      </c>
      <c r="K185" s="70" t="s">
        <v>858</v>
      </c>
      <c r="L185" s="69"/>
      <c r="M185" s="70"/>
      <c r="N185" s="74" t="s">
        <v>1607</v>
      </c>
      <c r="O185" s="72" t="s">
        <v>1608</v>
      </c>
    </row>
    <row r="186" spans="1:15" ht="30" customHeight="1">
      <c r="A186" s="63"/>
      <c r="B186" s="64" t="s">
        <v>697</v>
      </c>
      <c r="C186" s="65"/>
      <c r="D186" s="65"/>
      <c r="E186" s="71" t="s">
        <v>698</v>
      </c>
      <c r="F186" s="67" t="s">
        <v>136</v>
      </c>
      <c r="G186" s="67" t="s">
        <v>153</v>
      </c>
      <c r="H186" s="67" t="s">
        <v>156</v>
      </c>
      <c r="I186" s="67" t="s">
        <v>124</v>
      </c>
      <c r="J186" s="67" t="s">
        <v>126</v>
      </c>
      <c r="K186" s="75" t="s">
        <v>858</v>
      </c>
      <c r="L186" s="69"/>
      <c r="M186" s="70"/>
      <c r="N186" s="74" t="s">
        <v>833</v>
      </c>
      <c r="O186" s="85"/>
    </row>
    <row r="187" spans="1:15" ht="30" customHeight="1">
      <c r="A187" s="63"/>
      <c r="B187" s="64" t="s">
        <v>504</v>
      </c>
      <c r="C187" s="65"/>
      <c r="D187" s="65"/>
      <c r="E187" s="71" t="s">
        <v>699</v>
      </c>
      <c r="F187" s="67" t="s">
        <v>136</v>
      </c>
      <c r="G187" s="67" t="s">
        <v>153</v>
      </c>
      <c r="H187" s="67" t="s">
        <v>156</v>
      </c>
      <c r="I187" s="67" t="s">
        <v>124</v>
      </c>
      <c r="J187" s="67" t="s">
        <v>124</v>
      </c>
      <c r="K187" s="75" t="s">
        <v>858</v>
      </c>
      <c r="L187" s="69"/>
      <c r="M187" s="70">
        <v>30000</v>
      </c>
      <c r="N187" s="74" t="s">
        <v>833</v>
      </c>
      <c r="O187" s="85"/>
    </row>
    <row r="188" spans="1:15" ht="30" customHeight="1">
      <c r="A188" s="63"/>
      <c r="B188" s="64" t="s">
        <v>502</v>
      </c>
      <c r="C188" s="65"/>
      <c r="D188" s="65"/>
      <c r="E188" s="71" t="s">
        <v>700</v>
      </c>
      <c r="F188" s="67" t="s">
        <v>136</v>
      </c>
      <c r="G188" s="67" t="s">
        <v>153</v>
      </c>
      <c r="H188" s="67" t="s">
        <v>156</v>
      </c>
      <c r="I188" s="67" t="s">
        <v>124</v>
      </c>
      <c r="J188" s="67" t="s">
        <v>126</v>
      </c>
      <c r="K188" s="75" t="s">
        <v>858</v>
      </c>
      <c r="L188" s="69"/>
      <c r="M188" s="70"/>
      <c r="N188" s="74" t="s">
        <v>833</v>
      </c>
      <c r="O188" s="85" t="s">
        <v>935</v>
      </c>
    </row>
    <row r="189" spans="1:15" ht="30" customHeight="1">
      <c r="A189" s="63"/>
      <c r="B189" s="64" t="s">
        <v>500</v>
      </c>
      <c r="C189" s="65"/>
      <c r="D189" s="65"/>
      <c r="E189" s="71" t="s">
        <v>701</v>
      </c>
      <c r="F189" s="67" t="s">
        <v>136</v>
      </c>
      <c r="G189" s="67" t="s">
        <v>153</v>
      </c>
      <c r="H189" s="67" t="s">
        <v>156</v>
      </c>
      <c r="I189" s="67" t="s">
        <v>124</v>
      </c>
      <c r="J189" s="67" t="s">
        <v>124</v>
      </c>
      <c r="K189" s="75" t="s">
        <v>858</v>
      </c>
      <c r="L189" s="69"/>
      <c r="M189" s="70">
        <v>30000</v>
      </c>
      <c r="N189" s="74" t="s">
        <v>833</v>
      </c>
      <c r="O189" s="85"/>
    </row>
    <row r="190" spans="1:15" ht="30" customHeight="1">
      <c r="A190" s="63"/>
      <c r="B190" s="64" t="s">
        <v>499</v>
      </c>
      <c r="C190" s="65"/>
      <c r="D190" s="65"/>
      <c r="E190" s="71" t="s">
        <v>702</v>
      </c>
      <c r="F190" s="67" t="s">
        <v>136</v>
      </c>
      <c r="G190" s="67" t="s">
        <v>153</v>
      </c>
      <c r="H190" s="67" t="s">
        <v>156</v>
      </c>
      <c r="I190" s="67" t="s">
        <v>124</v>
      </c>
      <c r="J190" s="67" t="s">
        <v>126</v>
      </c>
      <c r="K190" s="75" t="s">
        <v>858</v>
      </c>
      <c r="L190" s="69"/>
      <c r="M190" s="70"/>
      <c r="N190" s="74" t="s">
        <v>833</v>
      </c>
      <c r="O190" s="72" t="s">
        <v>1609</v>
      </c>
    </row>
    <row r="191" spans="1:15" ht="30" customHeight="1">
      <c r="A191" s="63"/>
      <c r="B191" s="64" t="s">
        <v>498</v>
      </c>
      <c r="C191" s="65"/>
      <c r="D191" s="65"/>
      <c r="E191" s="71" t="s">
        <v>703</v>
      </c>
      <c r="F191" s="67" t="s">
        <v>136</v>
      </c>
      <c r="G191" s="67" t="s">
        <v>153</v>
      </c>
      <c r="H191" s="67" t="s">
        <v>156</v>
      </c>
      <c r="I191" s="67" t="s">
        <v>124</v>
      </c>
      <c r="J191" s="67" t="s">
        <v>124</v>
      </c>
      <c r="K191" s="75" t="s">
        <v>858</v>
      </c>
      <c r="L191" s="69"/>
      <c r="M191" s="70"/>
      <c r="N191" s="74" t="s">
        <v>936</v>
      </c>
      <c r="O191" s="85" t="s">
        <v>937</v>
      </c>
    </row>
    <row r="192" spans="1:15" ht="30" customHeight="1">
      <c r="A192" s="76"/>
      <c r="B192" s="64" t="s">
        <v>491</v>
      </c>
      <c r="C192" s="65"/>
      <c r="D192" s="65"/>
      <c r="E192" s="71" t="s">
        <v>967</v>
      </c>
      <c r="F192" s="67" t="s">
        <v>136</v>
      </c>
      <c r="G192" s="67" t="s">
        <v>153</v>
      </c>
      <c r="H192" s="67" t="s">
        <v>156</v>
      </c>
      <c r="I192" s="67" t="s">
        <v>124</v>
      </c>
      <c r="J192" s="67" t="s">
        <v>126</v>
      </c>
      <c r="K192" s="75" t="s">
        <v>858</v>
      </c>
      <c r="L192" s="69"/>
      <c r="M192" s="70"/>
      <c r="N192" s="74" t="s">
        <v>968</v>
      </c>
      <c r="O192" s="85" t="s">
        <v>969</v>
      </c>
    </row>
    <row r="193" spans="1:15" ht="30" customHeight="1">
      <c r="A193" s="76"/>
      <c r="B193" s="64" t="s">
        <v>490</v>
      </c>
      <c r="C193" s="65"/>
      <c r="D193" s="65"/>
      <c r="E193" s="71" t="s">
        <v>999</v>
      </c>
      <c r="F193" s="67" t="s">
        <v>136</v>
      </c>
      <c r="G193" s="67" t="s">
        <v>153</v>
      </c>
      <c r="H193" s="67" t="s">
        <v>156</v>
      </c>
      <c r="I193" s="67" t="s">
        <v>124</v>
      </c>
      <c r="J193" s="67" t="s">
        <v>126</v>
      </c>
      <c r="K193" s="75" t="s">
        <v>858</v>
      </c>
      <c r="L193" s="69"/>
      <c r="M193" s="70"/>
      <c r="N193" s="74" t="s">
        <v>968</v>
      </c>
      <c r="O193" s="85" t="s">
        <v>1000</v>
      </c>
    </row>
    <row r="194" spans="1:15" ht="30" customHeight="1">
      <c r="A194" s="76"/>
      <c r="B194" s="64" t="s">
        <v>1020</v>
      </c>
      <c r="C194" s="65"/>
      <c r="D194" s="65"/>
      <c r="E194" s="71" t="s">
        <v>1022</v>
      </c>
      <c r="F194" s="67" t="s">
        <v>136</v>
      </c>
      <c r="G194" s="67" t="s">
        <v>153</v>
      </c>
      <c r="H194" s="67" t="s">
        <v>156</v>
      </c>
      <c r="I194" s="67" t="s">
        <v>124</v>
      </c>
      <c r="J194" s="67" t="s">
        <v>126</v>
      </c>
      <c r="K194" s="75" t="s">
        <v>858</v>
      </c>
      <c r="L194" s="69"/>
      <c r="M194" s="70" t="s">
        <v>1610</v>
      </c>
      <c r="N194" s="73" t="s">
        <v>831</v>
      </c>
      <c r="O194" s="72"/>
    </row>
    <row r="195" spans="1:15" ht="30" customHeight="1">
      <c r="A195" s="76"/>
      <c r="B195" s="65"/>
      <c r="C195" s="65"/>
      <c r="D195" s="65"/>
      <c r="E195" s="71"/>
      <c r="F195" s="67"/>
      <c r="G195" s="67"/>
      <c r="H195" s="67"/>
      <c r="I195" s="67"/>
      <c r="J195" s="67"/>
      <c r="K195" s="68"/>
      <c r="L195" s="69"/>
      <c r="M195" s="70"/>
      <c r="N195" s="71"/>
      <c r="O195" s="85"/>
    </row>
    <row r="196" spans="1:15" ht="30" customHeight="1">
      <c r="A196" s="76"/>
      <c r="B196" s="65"/>
      <c r="C196" s="65"/>
      <c r="D196" s="65"/>
      <c r="E196" s="71"/>
      <c r="F196" s="67"/>
      <c r="G196" s="67"/>
      <c r="H196" s="67"/>
      <c r="I196" s="67"/>
      <c r="J196" s="67"/>
      <c r="K196" s="68"/>
      <c r="L196" s="69"/>
      <c r="M196" s="70"/>
      <c r="N196" s="71"/>
      <c r="O196" s="85"/>
    </row>
    <row r="197" spans="1:15" ht="30" customHeight="1">
      <c r="A197" s="76"/>
      <c r="B197" s="65"/>
      <c r="C197" s="65"/>
      <c r="D197" s="65"/>
      <c r="E197" s="71"/>
      <c r="F197" s="67"/>
      <c r="G197" s="67"/>
      <c r="H197" s="67"/>
      <c r="I197" s="67"/>
      <c r="J197" s="67"/>
      <c r="K197" s="68"/>
      <c r="L197" s="69"/>
      <c r="M197" s="70"/>
      <c r="N197" s="71"/>
      <c r="O197" s="85"/>
    </row>
    <row r="198" spans="1:15" ht="30" customHeight="1">
      <c r="A198" s="76"/>
      <c r="B198" s="65"/>
      <c r="C198" s="65"/>
      <c r="D198" s="65"/>
      <c r="E198" s="71"/>
      <c r="F198" s="67"/>
      <c r="G198" s="67"/>
      <c r="H198" s="67"/>
      <c r="I198" s="67"/>
      <c r="J198" s="67"/>
      <c r="K198" s="68"/>
      <c r="L198" s="69"/>
      <c r="M198" s="70"/>
      <c r="N198" s="71"/>
      <c r="O198" s="85"/>
    </row>
    <row r="199" spans="1:15" ht="30" customHeight="1">
      <c r="A199" s="76"/>
      <c r="B199" s="65"/>
      <c r="C199" s="65"/>
      <c r="D199" s="65"/>
      <c r="E199" s="71"/>
      <c r="F199" s="67"/>
      <c r="G199" s="67"/>
      <c r="H199" s="67"/>
      <c r="I199" s="67"/>
      <c r="J199" s="67"/>
      <c r="K199" s="68"/>
      <c r="L199" s="69"/>
      <c r="M199" s="70"/>
      <c r="N199" s="71"/>
      <c r="O199" s="85"/>
    </row>
    <row r="200" spans="1:15" ht="30" customHeight="1">
      <c r="A200" s="76"/>
      <c r="B200" s="65"/>
      <c r="C200" s="65"/>
      <c r="D200" s="65"/>
      <c r="E200" s="71"/>
      <c r="F200" s="67"/>
      <c r="G200" s="67"/>
      <c r="H200" s="67"/>
      <c r="I200" s="67"/>
      <c r="J200" s="67"/>
      <c r="K200" s="68"/>
      <c r="L200" s="69"/>
      <c r="M200" s="70"/>
      <c r="N200" s="71"/>
      <c r="O200" s="85"/>
    </row>
    <row r="201" spans="1:15" ht="30" customHeight="1">
      <c r="A201" s="76"/>
      <c r="B201" s="65"/>
      <c r="C201" s="65"/>
      <c r="D201" s="65"/>
      <c r="E201" s="71"/>
      <c r="F201" s="67"/>
      <c r="G201" s="67"/>
      <c r="H201" s="67"/>
      <c r="I201" s="67"/>
      <c r="J201" s="67"/>
      <c r="K201" s="68"/>
      <c r="L201" s="69"/>
      <c r="M201" s="70"/>
      <c r="N201" s="71"/>
      <c r="O201" s="85"/>
    </row>
    <row r="202" spans="1:15" ht="30" customHeight="1">
      <c r="A202" s="76"/>
      <c r="B202" s="65"/>
      <c r="C202" s="65"/>
      <c r="D202" s="65"/>
      <c r="E202" s="71"/>
      <c r="F202" s="67"/>
      <c r="G202" s="67"/>
      <c r="H202" s="67"/>
      <c r="I202" s="67"/>
      <c r="J202" s="67"/>
      <c r="K202" s="68"/>
      <c r="L202" s="69"/>
      <c r="M202" s="70"/>
      <c r="N202" s="71"/>
      <c r="O202" s="85"/>
    </row>
    <row r="203" spans="1:15" ht="30" customHeight="1">
      <c r="A203" s="76"/>
      <c r="B203" s="65"/>
      <c r="C203" s="65"/>
      <c r="D203" s="65"/>
      <c r="E203" s="71"/>
      <c r="F203" s="67"/>
      <c r="G203" s="67"/>
      <c r="H203" s="67"/>
      <c r="I203" s="67"/>
      <c r="J203" s="67"/>
      <c r="K203" s="68"/>
      <c r="L203" s="69"/>
      <c r="M203" s="70"/>
      <c r="N203" s="71"/>
      <c r="O203" s="85"/>
    </row>
    <row r="204" spans="1:15" ht="30" customHeight="1">
      <c r="A204" s="76"/>
      <c r="B204" s="65"/>
      <c r="C204" s="65"/>
      <c r="D204" s="65"/>
      <c r="E204" s="71"/>
      <c r="F204" s="67"/>
      <c r="G204" s="67"/>
      <c r="H204" s="67"/>
      <c r="I204" s="67"/>
      <c r="J204" s="67"/>
      <c r="K204" s="68"/>
      <c r="L204" s="69"/>
      <c r="M204" s="70"/>
      <c r="N204" s="71"/>
      <c r="O204" s="85"/>
    </row>
    <row r="205" spans="1:15" ht="30" customHeight="1">
      <c r="A205" s="76"/>
      <c r="B205" s="65"/>
      <c r="C205" s="65"/>
      <c r="D205" s="65"/>
      <c r="E205" s="71"/>
      <c r="F205" s="67"/>
      <c r="G205" s="67"/>
      <c r="H205" s="67"/>
      <c r="I205" s="67"/>
      <c r="J205" s="67"/>
      <c r="K205" s="68"/>
      <c r="L205" s="69"/>
      <c r="M205" s="70"/>
      <c r="N205" s="71"/>
      <c r="O205" s="85"/>
    </row>
    <row r="206" spans="1:15" ht="30" customHeight="1">
      <c r="A206" s="76"/>
      <c r="B206" s="65"/>
      <c r="C206" s="65"/>
      <c r="D206" s="65"/>
      <c r="E206" s="71"/>
      <c r="F206" s="67"/>
      <c r="G206" s="67"/>
      <c r="H206" s="67"/>
      <c r="I206" s="67"/>
      <c r="J206" s="67"/>
      <c r="K206" s="68"/>
      <c r="L206" s="69"/>
      <c r="M206" s="70"/>
      <c r="N206" s="71"/>
      <c r="O206" s="85"/>
    </row>
    <row r="207" spans="1:15" ht="30" customHeight="1">
      <c r="A207" s="76"/>
      <c r="B207" s="65"/>
      <c r="C207" s="65"/>
      <c r="D207" s="65"/>
      <c r="E207" s="71"/>
      <c r="F207" s="67"/>
      <c r="G207" s="67"/>
      <c r="H207" s="67"/>
      <c r="I207" s="67"/>
      <c r="J207" s="67"/>
      <c r="K207" s="68"/>
      <c r="L207" s="69"/>
      <c r="M207" s="70"/>
      <c r="N207" s="71"/>
      <c r="O207" s="85"/>
    </row>
    <row r="208" spans="1:15" ht="30" customHeight="1">
      <c r="A208" s="76"/>
      <c r="B208" s="65"/>
      <c r="C208" s="65"/>
      <c r="D208" s="65"/>
      <c r="E208" s="71"/>
      <c r="F208" s="67"/>
      <c r="G208" s="67"/>
      <c r="H208" s="67"/>
      <c r="I208" s="67"/>
      <c r="J208" s="67"/>
      <c r="K208" s="68"/>
      <c r="L208" s="69"/>
      <c r="M208" s="70"/>
      <c r="N208" s="71"/>
      <c r="O208" s="85"/>
    </row>
    <row r="209" spans="1:15" ht="30" customHeight="1">
      <c r="A209" s="76"/>
      <c r="B209" s="65"/>
      <c r="C209" s="65"/>
      <c r="D209" s="65"/>
      <c r="E209" s="71"/>
      <c r="F209" s="67"/>
      <c r="G209" s="67"/>
      <c r="H209" s="67"/>
      <c r="I209" s="67"/>
      <c r="J209" s="67"/>
      <c r="K209" s="68"/>
      <c r="L209" s="69"/>
      <c r="M209" s="70"/>
      <c r="N209" s="71"/>
      <c r="O209" s="85"/>
    </row>
    <row r="210" spans="1:15" ht="30" customHeight="1">
      <c r="A210" s="76"/>
      <c r="B210" s="65"/>
      <c r="C210" s="65"/>
      <c r="D210" s="65"/>
      <c r="E210" s="71"/>
      <c r="F210" s="67"/>
      <c r="G210" s="67"/>
      <c r="H210" s="67"/>
      <c r="I210" s="67"/>
      <c r="J210" s="67"/>
      <c r="K210" s="68"/>
      <c r="L210" s="69"/>
      <c r="M210" s="70"/>
      <c r="N210" s="71"/>
      <c r="O210" s="85"/>
    </row>
    <row r="211" spans="1:15" ht="30" customHeight="1">
      <c r="A211" s="76"/>
      <c r="B211" s="65"/>
      <c r="C211" s="65"/>
      <c r="D211" s="65"/>
      <c r="E211" s="71"/>
      <c r="F211" s="67"/>
      <c r="G211" s="67"/>
      <c r="H211" s="67"/>
      <c r="I211" s="67"/>
      <c r="J211" s="67"/>
      <c r="K211" s="68"/>
      <c r="L211" s="69"/>
      <c r="M211" s="70"/>
      <c r="N211" s="71"/>
      <c r="O211" s="85"/>
    </row>
    <row r="212" spans="1:15" ht="30" customHeight="1">
      <c r="A212" s="76"/>
      <c r="B212" s="65"/>
      <c r="C212" s="65"/>
      <c r="D212" s="65"/>
      <c r="E212" s="71"/>
      <c r="F212" s="67"/>
      <c r="G212" s="67"/>
      <c r="H212" s="67"/>
      <c r="I212" s="67"/>
      <c r="J212" s="67"/>
      <c r="K212" s="68"/>
      <c r="L212" s="69"/>
      <c r="M212" s="70"/>
      <c r="N212" s="71"/>
      <c r="O212" s="85"/>
    </row>
    <row r="213" spans="1:15" ht="30" customHeight="1">
      <c r="A213" s="76"/>
      <c r="B213" s="65"/>
      <c r="C213" s="65"/>
      <c r="D213" s="65"/>
      <c r="E213" s="71"/>
      <c r="F213" s="67"/>
      <c r="G213" s="67"/>
      <c r="H213" s="67"/>
      <c r="I213" s="67"/>
      <c r="J213" s="67"/>
      <c r="K213" s="68"/>
      <c r="L213" s="69"/>
      <c r="M213" s="70"/>
      <c r="N213" s="71"/>
      <c r="O213" s="85"/>
    </row>
    <row r="214" spans="1:15" ht="30" customHeight="1">
      <c r="A214" s="76"/>
      <c r="B214" s="65"/>
      <c r="C214" s="65"/>
      <c r="D214" s="65"/>
      <c r="E214" s="71"/>
      <c r="F214" s="67"/>
      <c r="G214" s="67"/>
      <c r="H214" s="67"/>
      <c r="I214" s="67"/>
      <c r="J214" s="67"/>
      <c r="K214" s="68"/>
      <c r="L214" s="69"/>
      <c r="M214" s="70"/>
      <c r="N214" s="71"/>
      <c r="O214" s="85"/>
    </row>
    <row r="215" spans="1:15" ht="30" customHeight="1">
      <c r="A215" s="76"/>
      <c r="B215" s="65"/>
      <c r="C215" s="65"/>
      <c r="D215" s="65"/>
      <c r="E215" s="71"/>
      <c r="F215" s="67"/>
      <c r="G215" s="67"/>
      <c r="H215" s="67"/>
      <c r="I215" s="67"/>
      <c r="J215" s="67"/>
      <c r="K215" s="68"/>
      <c r="L215" s="69"/>
      <c r="M215" s="70"/>
      <c r="N215" s="71"/>
      <c r="O215" s="85"/>
    </row>
    <row r="216" spans="1:15" ht="30" customHeight="1">
      <c r="A216" s="76"/>
      <c r="B216" s="65"/>
      <c r="C216" s="65"/>
      <c r="D216" s="65"/>
      <c r="E216" s="71"/>
      <c r="F216" s="67"/>
      <c r="G216" s="67"/>
      <c r="H216" s="67"/>
      <c r="I216" s="67"/>
      <c r="J216" s="67"/>
      <c r="K216" s="68"/>
      <c r="L216" s="69"/>
      <c r="M216" s="70"/>
      <c r="N216" s="71"/>
      <c r="O216" s="85"/>
    </row>
    <row r="217" spans="1:15" ht="30" customHeight="1">
      <c r="A217" s="76"/>
      <c r="B217" s="65"/>
      <c r="C217" s="65"/>
      <c r="D217" s="65"/>
      <c r="E217" s="71"/>
      <c r="F217" s="67"/>
      <c r="G217" s="67"/>
      <c r="H217" s="67"/>
      <c r="I217" s="67"/>
      <c r="J217" s="67"/>
      <c r="K217" s="68"/>
      <c r="L217" s="69"/>
      <c r="M217" s="70"/>
      <c r="N217" s="71"/>
      <c r="O217" s="85"/>
    </row>
    <row r="218" spans="1:15" ht="30" customHeight="1">
      <c r="A218" s="76"/>
      <c r="B218" s="65"/>
      <c r="C218" s="65"/>
      <c r="D218" s="65"/>
      <c r="E218" s="71"/>
      <c r="F218" s="67"/>
      <c r="G218" s="67"/>
      <c r="H218" s="67"/>
      <c r="I218" s="67"/>
      <c r="J218" s="67"/>
      <c r="K218" s="68"/>
      <c r="L218" s="69"/>
      <c r="M218" s="70"/>
      <c r="N218" s="71"/>
      <c r="O218" s="85"/>
    </row>
    <row r="219" spans="1:15" ht="30" customHeight="1">
      <c r="A219" s="76"/>
      <c r="B219" s="65"/>
      <c r="C219" s="65"/>
      <c r="D219" s="65"/>
      <c r="E219" s="71"/>
      <c r="F219" s="67"/>
      <c r="G219" s="67"/>
      <c r="H219" s="67"/>
      <c r="I219" s="67"/>
      <c r="J219" s="67"/>
      <c r="K219" s="68"/>
      <c r="L219" s="69"/>
      <c r="M219" s="70"/>
      <c r="N219" s="71"/>
      <c r="O219" s="85"/>
    </row>
    <row r="220" spans="1:15" ht="30" customHeight="1">
      <c r="A220" s="76"/>
      <c r="B220" s="65"/>
      <c r="C220" s="65"/>
      <c r="D220" s="65"/>
      <c r="E220" s="71"/>
      <c r="F220" s="67"/>
      <c r="G220" s="67"/>
      <c r="H220" s="67"/>
      <c r="I220" s="67"/>
      <c r="J220" s="67"/>
      <c r="K220" s="68"/>
      <c r="L220" s="69"/>
      <c r="M220" s="70"/>
      <c r="N220" s="71"/>
      <c r="O220" s="85"/>
    </row>
    <row r="221" spans="1:15" ht="30" customHeight="1">
      <c r="A221" s="76"/>
      <c r="B221" s="65"/>
      <c r="C221" s="65"/>
      <c r="D221" s="65"/>
      <c r="E221" s="71"/>
      <c r="F221" s="67"/>
      <c r="G221" s="67"/>
      <c r="H221" s="67"/>
      <c r="I221" s="67"/>
      <c r="J221" s="67"/>
      <c r="K221" s="68"/>
      <c r="L221" s="69"/>
      <c r="M221" s="70"/>
      <c r="N221" s="71"/>
      <c r="O221" s="85"/>
    </row>
    <row r="222" spans="1:15" ht="30" customHeight="1">
      <c r="A222" s="76"/>
      <c r="B222" s="65"/>
      <c r="C222" s="65"/>
      <c r="D222" s="65"/>
      <c r="E222" s="71"/>
      <c r="F222" s="67"/>
      <c r="G222" s="67"/>
      <c r="H222" s="67"/>
      <c r="I222" s="67"/>
      <c r="J222" s="67"/>
      <c r="K222" s="68"/>
      <c r="L222" s="69"/>
      <c r="M222" s="70"/>
      <c r="N222" s="71"/>
      <c r="O222" s="85"/>
    </row>
    <row r="223" spans="1:15" ht="30" customHeight="1">
      <c r="A223" s="76"/>
      <c r="B223" s="65"/>
      <c r="C223" s="65"/>
      <c r="D223" s="65"/>
      <c r="E223" s="71"/>
      <c r="F223" s="67"/>
      <c r="G223" s="67"/>
      <c r="H223" s="67"/>
      <c r="I223" s="67"/>
      <c r="J223" s="67"/>
      <c r="K223" s="68"/>
      <c r="L223" s="69"/>
      <c r="M223" s="70"/>
      <c r="N223" s="71"/>
      <c r="O223" s="85"/>
    </row>
    <row r="224" spans="1:15" ht="30" customHeight="1">
      <c r="A224" s="76"/>
      <c r="B224" s="65"/>
      <c r="C224" s="65"/>
      <c r="D224" s="65"/>
      <c r="E224" s="71"/>
      <c r="F224" s="67"/>
      <c r="G224" s="67"/>
      <c r="H224" s="67"/>
      <c r="I224" s="67"/>
      <c r="J224" s="67"/>
      <c r="K224" s="68"/>
      <c r="L224" s="69"/>
      <c r="M224" s="70"/>
      <c r="N224" s="71"/>
      <c r="O224" s="85"/>
    </row>
    <row r="225" spans="1:15" ht="30" customHeight="1">
      <c r="A225" s="76"/>
      <c r="B225" s="65"/>
      <c r="C225" s="65"/>
      <c r="D225" s="65"/>
      <c r="E225" s="71"/>
      <c r="F225" s="67"/>
      <c r="G225" s="67"/>
      <c r="H225" s="67"/>
      <c r="I225" s="67"/>
      <c r="J225" s="67"/>
      <c r="K225" s="68"/>
      <c r="L225" s="69"/>
      <c r="M225" s="70"/>
      <c r="N225" s="71"/>
      <c r="O225" s="85"/>
    </row>
    <row r="226" spans="1:15" ht="30" customHeight="1">
      <c r="A226" s="76"/>
      <c r="B226" s="65"/>
      <c r="C226" s="65"/>
      <c r="D226" s="65"/>
      <c r="E226" s="71"/>
      <c r="F226" s="67"/>
      <c r="G226" s="67"/>
      <c r="H226" s="67"/>
      <c r="I226" s="67"/>
      <c r="J226" s="67"/>
      <c r="K226" s="68"/>
      <c r="L226" s="69"/>
      <c r="M226" s="70"/>
      <c r="N226" s="71"/>
      <c r="O226" s="85"/>
    </row>
    <row r="227" spans="1:15" ht="30" customHeight="1">
      <c r="A227" s="76"/>
      <c r="B227" s="65"/>
      <c r="C227" s="65"/>
      <c r="D227" s="65"/>
      <c r="E227" s="71"/>
      <c r="F227" s="67"/>
      <c r="G227" s="67"/>
      <c r="H227" s="67"/>
      <c r="I227" s="67"/>
      <c r="J227" s="67"/>
      <c r="K227" s="68"/>
      <c r="L227" s="69"/>
      <c r="M227" s="70"/>
      <c r="N227" s="71"/>
      <c r="O227" s="85"/>
    </row>
    <row r="228" spans="1:15" ht="30" customHeight="1">
      <c r="A228" s="76"/>
      <c r="B228" s="65"/>
      <c r="C228" s="65"/>
      <c r="D228" s="65"/>
      <c r="E228" s="71"/>
      <c r="F228" s="67"/>
      <c r="G228" s="67"/>
      <c r="H228" s="67"/>
      <c r="I228" s="67"/>
      <c r="J228" s="67"/>
      <c r="K228" s="68"/>
      <c r="L228" s="69"/>
      <c r="M228" s="70"/>
      <c r="N228" s="71"/>
      <c r="O228" s="85"/>
    </row>
    <row r="229" spans="1:15" ht="30" customHeight="1">
      <c r="A229" s="76"/>
      <c r="B229" s="65"/>
      <c r="C229" s="65"/>
      <c r="D229" s="65"/>
      <c r="E229" s="71"/>
      <c r="F229" s="67"/>
      <c r="G229" s="67"/>
      <c r="H229" s="67"/>
      <c r="I229" s="67"/>
      <c r="J229" s="67"/>
      <c r="K229" s="68"/>
      <c r="L229" s="69"/>
      <c r="M229" s="70"/>
      <c r="N229" s="71"/>
      <c r="O229" s="85"/>
    </row>
    <row r="230" spans="1:15" ht="30" customHeight="1">
      <c r="A230" s="76"/>
      <c r="B230" s="65"/>
      <c r="C230" s="65"/>
      <c r="D230" s="65"/>
      <c r="E230" s="71"/>
      <c r="F230" s="67"/>
      <c r="G230" s="67"/>
      <c r="H230" s="67"/>
      <c r="I230" s="67"/>
      <c r="J230" s="67"/>
      <c r="K230" s="68"/>
      <c r="L230" s="69"/>
      <c r="M230" s="70"/>
      <c r="N230" s="71"/>
      <c r="O230" s="85"/>
    </row>
    <row r="231" spans="1:15" ht="30" customHeight="1">
      <c r="A231" s="76"/>
      <c r="B231" s="65"/>
      <c r="C231" s="65"/>
      <c r="D231" s="65"/>
      <c r="E231" s="71"/>
      <c r="F231" s="67"/>
      <c r="G231" s="67"/>
      <c r="H231" s="67"/>
      <c r="I231" s="67"/>
      <c r="J231" s="67"/>
      <c r="K231" s="68"/>
      <c r="L231" s="69"/>
      <c r="M231" s="70"/>
      <c r="N231" s="71"/>
      <c r="O231" s="85"/>
    </row>
    <row r="232" spans="1:15" ht="30" customHeight="1">
      <c r="A232" s="76"/>
      <c r="B232" s="65"/>
      <c r="C232" s="65"/>
      <c r="D232" s="65"/>
      <c r="E232" s="71"/>
      <c r="F232" s="67"/>
      <c r="G232" s="67"/>
      <c r="H232" s="67"/>
      <c r="I232" s="67"/>
      <c r="J232" s="67"/>
      <c r="K232" s="68"/>
      <c r="L232" s="69"/>
      <c r="M232" s="70"/>
      <c r="N232" s="71"/>
      <c r="O232" s="85"/>
    </row>
    <row r="233" spans="1:15" ht="30" customHeight="1">
      <c r="A233" s="76"/>
      <c r="B233" s="65"/>
      <c r="C233" s="65"/>
      <c r="D233" s="65"/>
      <c r="E233" s="71"/>
      <c r="F233" s="67"/>
      <c r="G233" s="67"/>
      <c r="H233" s="67"/>
      <c r="I233" s="67"/>
      <c r="J233" s="67"/>
      <c r="K233" s="68"/>
      <c r="L233" s="69"/>
      <c r="M233" s="70"/>
      <c r="N233" s="71"/>
      <c r="O233" s="85"/>
    </row>
    <row r="234" spans="1:15" ht="30" customHeight="1">
      <c r="A234" s="76"/>
      <c r="B234" s="65"/>
      <c r="C234" s="65"/>
      <c r="D234" s="65"/>
      <c r="E234" s="71"/>
      <c r="F234" s="67"/>
      <c r="G234" s="67"/>
      <c r="H234" s="67"/>
      <c r="I234" s="67"/>
      <c r="J234" s="67"/>
      <c r="K234" s="68"/>
      <c r="L234" s="69"/>
      <c r="M234" s="70"/>
      <c r="N234" s="71"/>
      <c r="O234" s="85"/>
    </row>
    <row r="235" spans="1:15" ht="30" customHeight="1">
      <c r="A235" s="76"/>
      <c r="B235" s="65"/>
      <c r="C235" s="65"/>
      <c r="D235" s="65"/>
      <c r="E235" s="71"/>
      <c r="F235" s="67"/>
      <c r="G235" s="67"/>
      <c r="H235" s="67"/>
      <c r="I235" s="67"/>
      <c r="J235" s="67"/>
      <c r="K235" s="68"/>
      <c r="L235" s="69"/>
      <c r="M235" s="70"/>
      <c r="N235" s="71"/>
      <c r="O235" s="85"/>
    </row>
    <row r="236" spans="1:15" ht="30" customHeight="1">
      <c r="A236" s="76"/>
      <c r="B236" s="65"/>
      <c r="C236" s="65"/>
      <c r="D236" s="65"/>
      <c r="E236" s="71"/>
      <c r="F236" s="67"/>
      <c r="G236" s="67"/>
      <c r="H236" s="67"/>
      <c r="I236" s="67"/>
      <c r="J236" s="67"/>
      <c r="K236" s="68"/>
      <c r="L236" s="69"/>
      <c r="M236" s="70"/>
      <c r="N236" s="71"/>
      <c r="O236" s="85"/>
    </row>
    <row r="237" spans="1:15" ht="30" customHeight="1">
      <c r="A237" s="76"/>
      <c r="B237" s="65"/>
      <c r="C237" s="65"/>
      <c r="D237" s="65"/>
      <c r="E237" s="71"/>
      <c r="F237" s="67"/>
      <c r="G237" s="67"/>
      <c r="H237" s="67"/>
      <c r="I237" s="67"/>
      <c r="J237" s="67"/>
      <c r="K237" s="68"/>
      <c r="L237" s="69"/>
      <c r="M237" s="70"/>
      <c r="N237" s="71"/>
      <c r="O237" s="85"/>
    </row>
    <row r="238" spans="1:15" ht="30" customHeight="1">
      <c r="A238" s="76"/>
      <c r="B238" s="65"/>
      <c r="C238" s="65"/>
      <c r="D238" s="65"/>
      <c r="E238" s="71"/>
      <c r="F238" s="67"/>
      <c r="G238" s="67"/>
      <c r="H238" s="67"/>
      <c r="I238" s="67"/>
      <c r="J238" s="67"/>
      <c r="K238" s="68"/>
      <c r="L238" s="69"/>
      <c r="M238" s="70"/>
      <c r="N238" s="71"/>
      <c r="O238" s="85"/>
    </row>
    <row r="239" spans="1:15" ht="30" customHeight="1">
      <c r="A239" s="76"/>
      <c r="B239" s="65"/>
      <c r="C239" s="65"/>
      <c r="D239" s="65"/>
      <c r="E239" s="71"/>
      <c r="F239" s="67"/>
      <c r="G239" s="67"/>
      <c r="H239" s="67"/>
      <c r="I239" s="67"/>
      <c r="J239" s="67"/>
      <c r="K239" s="68"/>
      <c r="L239" s="69"/>
      <c r="M239" s="70"/>
      <c r="N239" s="71"/>
      <c r="O239" s="85"/>
    </row>
    <row r="240" spans="1:15" ht="30" customHeight="1">
      <c r="A240" s="76"/>
      <c r="B240" s="65"/>
      <c r="C240" s="65"/>
      <c r="D240" s="65"/>
      <c r="E240" s="71"/>
      <c r="F240" s="67"/>
      <c r="G240" s="67"/>
      <c r="H240" s="67"/>
      <c r="I240" s="67"/>
      <c r="J240" s="67"/>
      <c r="K240" s="68"/>
      <c r="L240" s="69"/>
      <c r="M240" s="70"/>
      <c r="N240" s="71"/>
      <c r="O240" s="85"/>
    </row>
    <row r="241" spans="1:15" ht="30" customHeight="1">
      <c r="A241" s="76"/>
      <c r="B241" s="65"/>
      <c r="C241" s="65"/>
      <c r="D241" s="65"/>
      <c r="E241" s="71"/>
      <c r="F241" s="67"/>
      <c r="G241" s="67"/>
      <c r="H241" s="67"/>
      <c r="I241" s="67"/>
      <c r="J241" s="67"/>
      <c r="K241" s="68"/>
      <c r="L241" s="69"/>
      <c r="M241" s="70"/>
      <c r="N241" s="71"/>
      <c r="O241" s="85"/>
    </row>
    <row r="242" spans="1:15" ht="30" customHeight="1">
      <c r="A242" s="76"/>
      <c r="B242" s="65"/>
      <c r="C242" s="65"/>
      <c r="D242" s="65"/>
      <c r="E242" s="71"/>
      <c r="F242" s="67"/>
      <c r="G242" s="67"/>
      <c r="H242" s="67"/>
      <c r="I242" s="67"/>
      <c r="J242" s="67"/>
      <c r="K242" s="68"/>
      <c r="L242" s="69"/>
      <c r="M242" s="70"/>
      <c r="N242" s="71"/>
      <c r="O242" s="85"/>
    </row>
    <row r="243" spans="1:15" ht="30" customHeight="1">
      <c r="A243" s="76"/>
      <c r="B243" s="65"/>
      <c r="C243" s="65"/>
      <c r="D243" s="65"/>
      <c r="E243" s="71"/>
      <c r="F243" s="67"/>
      <c r="G243" s="67"/>
      <c r="H243" s="67"/>
      <c r="I243" s="67"/>
      <c r="J243" s="67"/>
      <c r="K243" s="68"/>
      <c r="L243" s="69"/>
      <c r="M243" s="70"/>
      <c r="N243" s="71"/>
      <c r="O243" s="85"/>
    </row>
    <row r="244" spans="1:15" ht="30" customHeight="1">
      <c r="A244" s="76"/>
      <c r="B244" s="65"/>
      <c r="C244" s="65"/>
      <c r="D244" s="65"/>
      <c r="E244" s="71"/>
      <c r="F244" s="67"/>
      <c r="G244" s="67"/>
      <c r="H244" s="67"/>
      <c r="I244" s="67"/>
      <c r="J244" s="67"/>
      <c r="K244" s="68"/>
      <c r="L244" s="69"/>
      <c r="M244" s="70"/>
      <c r="N244" s="71"/>
      <c r="O244" s="85"/>
    </row>
    <row r="245" spans="1:15" ht="30" customHeight="1">
      <c r="A245" s="76"/>
      <c r="B245" s="65"/>
      <c r="C245" s="65"/>
      <c r="D245" s="65"/>
      <c r="E245" s="71"/>
      <c r="F245" s="67"/>
      <c r="G245" s="67"/>
      <c r="H245" s="67"/>
      <c r="I245" s="67"/>
      <c r="J245" s="67"/>
      <c r="K245" s="68"/>
      <c r="L245" s="69"/>
      <c r="M245" s="70"/>
      <c r="N245" s="71"/>
      <c r="O245" s="85"/>
    </row>
    <row r="246" spans="1:15" ht="30" customHeight="1">
      <c r="A246" s="76"/>
      <c r="B246" s="65"/>
      <c r="C246" s="65"/>
      <c r="D246" s="65"/>
      <c r="E246" s="71"/>
      <c r="F246" s="67"/>
      <c r="G246" s="67"/>
      <c r="H246" s="67"/>
      <c r="I246" s="67"/>
      <c r="J246" s="67"/>
      <c r="K246" s="68"/>
      <c r="L246" s="69"/>
      <c r="M246" s="70"/>
      <c r="N246" s="71"/>
      <c r="O246" s="85"/>
    </row>
    <row r="247" spans="1:15" ht="30" customHeight="1">
      <c r="A247" s="76"/>
      <c r="B247" s="65"/>
      <c r="C247" s="65"/>
      <c r="D247" s="65"/>
      <c r="E247" s="71"/>
      <c r="F247" s="67"/>
      <c r="G247" s="67"/>
      <c r="H247" s="67"/>
      <c r="I247" s="67"/>
      <c r="J247" s="67"/>
      <c r="K247" s="68"/>
      <c r="L247" s="69"/>
      <c r="M247" s="70"/>
      <c r="N247" s="71"/>
      <c r="O247" s="85"/>
    </row>
    <row r="248" spans="1:15" ht="30" customHeight="1">
      <c r="A248" s="76"/>
      <c r="B248" s="65"/>
      <c r="C248" s="65"/>
      <c r="D248" s="65"/>
      <c r="E248" s="71"/>
      <c r="F248" s="67"/>
      <c r="G248" s="67"/>
      <c r="H248" s="67"/>
      <c r="I248" s="67"/>
      <c r="J248" s="67"/>
      <c r="K248" s="68"/>
      <c r="L248" s="69"/>
      <c r="M248" s="70"/>
      <c r="N248" s="71"/>
      <c r="O248" s="85"/>
    </row>
    <row r="249" spans="1:15" ht="30" customHeight="1">
      <c r="A249" s="76"/>
      <c r="B249" s="65"/>
      <c r="C249" s="65"/>
      <c r="D249" s="65"/>
      <c r="E249" s="71"/>
      <c r="F249" s="67"/>
      <c r="G249" s="67"/>
      <c r="H249" s="67"/>
      <c r="I249" s="67"/>
      <c r="J249" s="67"/>
      <c r="K249" s="68"/>
      <c r="L249" s="69"/>
      <c r="M249" s="70"/>
      <c r="N249" s="71"/>
      <c r="O249" s="85"/>
    </row>
    <row r="250" spans="1:15" ht="30" customHeight="1">
      <c r="A250" s="76"/>
      <c r="B250" s="65"/>
      <c r="C250" s="65"/>
      <c r="D250" s="65"/>
      <c r="E250" s="71"/>
      <c r="F250" s="67"/>
      <c r="G250" s="67"/>
      <c r="H250" s="67"/>
      <c r="I250" s="67"/>
      <c r="J250" s="67"/>
      <c r="K250" s="68"/>
      <c r="L250" s="69"/>
      <c r="M250" s="70"/>
      <c r="N250" s="71"/>
      <c r="O250" s="85"/>
    </row>
    <row r="251" spans="1:15" ht="30" customHeight="1">
      <c r="A251" s="76"/>
      <c r="B251" s="65"/>
      <c r="C251" s="65"/>
      <c r="D251" s="65"/>
      <c r="E251" s="71"/>
      <c r="F251" s="67"/>
      <c r="G251" s="67"/>
      <c r="H251" s="67"/>
      <c r="I251" s="67"/>
      <c r="J251" s="67"/>
      <c r="K251" s="68"/>
      <c r="L251" s="69"/>
      <c r="M251" s="70"/>
      <c r="N251" s="71"/>
      <c r="O251" s="85"/>
    </row>
    <row r="252" spans="1:15" ht="30" customHeight="1">
      <c r="A252" s="76"/>
      <c r="B252" s="65"/>
      <c r="C252" s="65"/>
      <c r="D252" s="65"/>
      <c r="E252" s="71"/>
      <c r="F252" s="67"/>
      <c r="G252" s="67"/>
      <c r="H252" s="67"/>
      <c r="I252" s="67"/>
      <c r="J252" s="67"/>
      <c r="K252" s="68"/>
      <c r="L252" s="69"/>
      <c r="M252" s="70"/>
      <c r="N252" s="71"/>
      <c r="O252" s="85"/>
    </row>
    <row r="253" spans="1:15" ht="30" customHeight="1">
      <c r="A253" s="76"/>
      <c r="B253" s="65"/>
      <c r="C253" s="65"/>
      <c r="D253" s="65"/>
      <c r="E253" s="71"/>
      <c r="F253" s="67"/>
      <c r="G253" s="67"/>
      <c r="H253" s="67"/>
      <c r="I253" s="67"/>
      <c r="J253" s="67"/>
      <c r="K253" s="68"/>
      <c r="L253" s="69"/>
      <c r="M253" s="70"/>
      <c r="N253" s="71"/>
      <c r="O253" s="85"/>
    </row>
    <row r="254" spans="1:15" ht="30" customHeight="1">
      <c r="A254" s="76"/>
      <c r="B254" s="65"/>
      <c r="C254" s="65"/>
      <c r="D254" s="65"/>
      <c r="E254" s="71"/>
      <c r="F254" s="67"/>
      <c r="G254" s="67"/>
      <c r="H254" s="67"/>
      <c r="I254" s="67"/>
      <c r="J254" s="67"/>
      <c r="K254" s="68"/>
      <c r="L254" s="69"/>
      <c r="M254" s="70"/>
      <c r="N254" s="71"/>
      <c r="O254" s="85"/>
    </row>
    <row r="255" spans="1:15" ht="30" customHeight="1">
      <c r="A255" s="76"/>
      <c r="B255" s="65"/>
      <c r="C255" s="65"/>
      <c r="D255" s="65"/>
      <c r="E255" s="71"/>
      <c r="F255" s="67"/>
      <c r="G255" s="67"/>
      <c r="H255" s="67"/>
      <c r="I255" s="67"/>
      <c r="J255" s="67"/>
      <c r="K255" s="68"/>
      <c r="L255" s="69"/>
      <c r="M255" s="70"/>
      <c r="N255" s="71"/>
      <c r="O255" s="85"/>
    </row>
    <row r="256" spans="1:15" ht="30" customHeight="1">
      <c r="A256" s="76"/>
      <c r="B256" s="65"/>
      <c r="C256" s="65"/>
      <c r="D256" s="65"/>
      <c r="E256" s="71"/>
      <c r="F256" s="67"/>
      <c r="G256" s="67"/>
      <c r="H256" s="67"/>
      <c r="I256" s="67"/>
      <c r="J256" s="67"/>
      <c r="K256" s="68"/>
      <c r="L256" s="69"/>
      <c r="M256" s="70"/>
      <c r="N256" s="71"/>
      <c r="O256" s="85"/>
    </row>
    <row r="257" spans="1:15" ht="30" customHeight="1">
      <c r="A257" s="76"/>
      <c r="B257" s="65"/>
      <c r="C257" s="65"/>
      <c r="D257" s="65"/>
      <c r="E257" s="71"/>
      <c r="F257" s="67"/>
      <c r="G257" s="67"/>
      <c r="H257" s="67"/>
      <c r="I257" s="67"/>
      <c r="J257" s="67"/>
      <c r="K257" s="68"/>
      <c r="L257" s="69"/>
      <c r="M257" s="70"/>
      <c r="N257" s="71"/>
      <c r="O257" s="85"/>
    </row>
    <row r="258" spans="1:15" ht="30" customHeight="1">
      <c r="A258" s="76"/>
      <c r="B258" s="65"/>
      <c r="C258" s="65"/>
      <c r="D258" s="65"/>
      <c r="E258" s="71"/>
      <c r="F258" s="67"/>
      <c r="G258" s="67"/>
      <c r="H258" s="67"/>
      <c r="I258" s="67"/>
      <c r="J258" s="67"/>
      <c r="K258" s="68"/>
      <c r="L258" s="69"/>
      <c r="M258" s="70"/>
      <c r="N258" s="71"/>
      <c r="O258" s="85"/>
    </row>
    <row r="259" spans="1:15" ht="30" customHeight="1">
      <c r="A259" s="76"/>
      <c r="B259" s="65"/>
      <c r="C259" s="65"/>
      <c r="D259" s="65"/>
      <c r="E259" s="71"/>
      <c r="F259" s="67"/>
      <c r="G259" s="67"/>
      <c r="H259" s="67"/>
      <c r="I259" s="67"/>
      <c r="J259" s="67"/>
      <c r="K259" s="68"/>
      <c r="L259" s="69"/>
      <c r="M259" s="70"/>
      <c r="N259" s="71"/>
      <c r="O259" s="85"/>
    </row>
    <row r="260" spans="1:15" ht="30" customHeight="1">
      <c r="A260" s="76"/>
      <c r="B260" s="65"/>
      <c r="C260" s="65"/>
      <c r="D260" s="65"/>
      <c r="E260" s="71"/>
      <c r="F260" s="67"/>
      <c r="G260" s="67"/>
      <c r="H260" s="67"/>
      <c r="I260" s="67"/>
      <c r="J260" s="67"/>
      <c r="K260" s="68"/>
      <c r="L260" s="69"/>
      <c r="M260" s="70"/>
      <c r="N260" s="71"/>
      <c r="O260" s="85"/>
    </row>
    <row r="261" spans="1:15" ht="30" customHeight="1">
      <c r="A261" s="76"/>
      <c r="B261" s="65"/>
      <c r="C261" s="65"/>
      <c r="D261" s="65"/>
      <c r="E261" s="71"/>
      <c r="F261" s="67"/>
      <c r="G261" s="67"/>
      <c r="H261" s="67"/>
      <c r="I261" s="67"/>
      <c r="J261" s="67"/>
      <c r="K261" s="68"/>
      <c r="L261" s="69"/>
      <c r="M261" s="70"/>
      <c r="N261" s="71"/>
      <c r="O261" s="85"/>
    </row>
    <row r="262" spans="1:15" ht="30" customHeight="1">
      <c r="A262" s="76"/>
      <c r="B262" s="65"/>
      <c r="C262" s="65"/>
      <c r="D262" s="65"/>
      <c r="E262" s="71"/>
      <c r="F262" s="67"/>
      <c r="G262" s="67"/>
      <c r="H262" s="67"/>
      <c r="I262" s="67"/>
      <c r="J262" s="67"/>
      <c r="K262" s="68"/>
      <c r="L262" s="69"/>
      <c r="M262" s="70"/>
      <c r="N262" s="71"/>
      <c r="O262" s="85"/>
    </row>
    <row r="263" spans="1:15" ht="30" customHeight="1">
      <c r="A263" s="76"/>
      <c r="B263" s="65"/>
      <c r="C263" s="65"/>
      <c r="D263" s="65"/>
      <c r="E263" s="71"/>
      <c r="F263" s="67"/>
      <c r="G263" s="67"/>
      <c r="H263" s="67"/>
      <c r="I263" s="67"/>
      <c r="J263" s="67"/>
      <c r="K263" s="68"/>
      <c r="L263" s="69"/>
      <c r="M263" s="70"/>
      <c r="N263" s="71"/>
      <c r="O263" s="85"/>
    </row>
    <row r="264" spans="1:15" ht="30" customHeight="1">
      <c r="A264" s="76"/>
      <c r="B264" s="65"/>
      <c r="C264" s="65"/>
      <c r="D264" s="65"/>
      <c r="E264" s="71"/>
      <c r="F264" s="67"/>
      <c r="G264" s="67"/>
      <c r="H264" s="67"/>
      <c r="I264" s="67"/>
      <c r="J264" s="67"/>
      <c r="K264" s="68"/>
      <c r="L264" s="69"/>
      <c r="M264" s="70"/>
      <c r="N264" s="71"/>
      <c r="O264" s="85"/>
    </row>
    <row r="265" spans="1:15" ht="30" customHeight="1">
      <c r="A265" s="76"/>
      <c r="B265" s="65"/>
      <c r="C265" s="65"/>
      <c r="D265" s="65"/>
      <c r="E265" s="71"/>
      <c r="F265" s="67"/>
      <c r="G265" s="67"/>
      <c r="H265" s="67"/>
      <c r="I265" s="67"/>
      <c r="J265" s="67"/>
      <c r="K265" s="68"/>
      <c r="L265" s="69"/>
      <c r="M265" s="70"/>
      <c r="N265" s="71"/>
      <c r="O265" s="85"/>
    </row>
    <row r="266" spans="1:15" ht="30" customHeight="1">
      <c r="A266" s="76"/>
      <c r="B266" s="65"/>
      <c r="C266" s="65"/>
      <c r="D266" s="65"/>
      <c r="E266" s="71"/>
      <c r="F266" s="67"/>
      <c r="G266" s="67"/>
      <c r="H266" s="67"/>
      <c r="I266" s="67"/>
      <c r="J266" s="67"/>
      <c r="K266" s="68"/>
      <c r="L266" s="69"/>
      <c r="M266" s="70"/>
      <c r="N266" s="71"/>
      <c r="O266" s="85"/>
    </row>
    <row r="267" spans="1:15" ht="30" customHeight="1">
      <c r="A267" s="76"/>
      <c r="B267" s="65"/>
      <c r="C267" s="65"/>
      <c r="D267" s="65"/>
      <c r="E267" s="71"/>
      <c r="F267" s="67"/>
      <c r="G267" s="67"/>
      <c r="H267" s="67"/>
      <c r="I267" s="67"/>
      <c r="J267" s="67"/>
      <c r="K267" s="68"/>
      <c r="L267" s="69"/>
      <c r="M267" s="70"/>
      <c r="N267" s="71"/>
      <c r="O267" s="85"/>
    </row>
    <row r="268" spans="1:15" ht="30" customHeight="1">
      <c r="A268" s="76"/>
      <c r="B268" s="65"/>
      <c r="C268" s="65"/>
      <c r="D268" s="65"/>
      <c r="E268" s="71"/>
      <c r="F268" s="67"/>
      <c r="G268" s="67"/>
      <c r="H268" s="67"/>
      <c r="I268" s="67"/>
      <c r="J268" s="67"/>
      <c r="K268" s="68"/>
      <c r="L268" s="69"/>
      <c r="M268" s="70"/>
      <c r="N268" s="71"/>
      <c r="O268" s="85"/>
    </row>
    <row r="269" spans="1:15" ht="30" customHeight="1">
      <c r="A269" s="76"/>
      <c r="B269" s="65"/>
      <c r="C269" s="65"/>
      <c r="D269" s="65"/>
      <c r="E269" s="71"/>
      <c r="F269" s="67"/>
      <c r="G269" s="67"/>
      <c r="H269" s="67"/>
      <c r="I269" s="67"/>
      <c r="J269" s="67"/>
      <c r="K269" s="68"/>
      <c r="L269" s="69"/>
      <c r="M269" s="70"/>
      <c r="N269" s="71"/>
      <c r="O269" s="85"/>
    </row>
    <row r="270" spans="1:15" ht="30" customHeight="1">
      <c r="A270" s="76"/>
      <c r="B270" s="65"/>
      <c r="C270" s="65"/>
      <c r="D270" s="65"/>
      <c r="E270" s="71"/>
      <c r="F270" s="67"/>
      <c r="G270" s="67"/>
      <c r="H270" s="67"/>
      <c r="I270" s="67"/>
      <c r="J270" s="67"/>
      <c r="K270" s="68"/>
      <c r="L270" s="69"/>
      <c r="M270" s="70"/>
      <c r="N270" s="71"/>
      <c r="O270" s="85"/>
    </row>
    <row r="271" spans="1:15" ht="30" customHeight="1">
      <c r="A271" s="76"/>
      <c r="B271" s="65"/>
      <c r="C271" s="65"/>
      <c r="D271" s="65"/>
      <c r="E271" s="71"/>
      <c r="F271" s="67"/>
      <c r="G271" s="67"/>
      <c r="H271" s="67"/>
      <c r="I271" s="67"/>
      <c r="J271" s="67"/>
      <c r="K271" s="68"/>
      <c r="L271" s="69"/>
      <c r="M271" s="70"/>
      <c r="N271" s="71"/>
      <c r="O271" s="85"/>
    </row>
    <row r="272" spans="1:15" ht="30" customHeight="1">
      <c r="A272" s="76"/>
      <c r="B272" s="65"/>
      <c r="C272" s="65"/>
      <c r="D272" s="65"/>
      <c r="E272" s="71"/>
      <c r="F272" s="67"/>
      <c r="G272" s="67"/>
      <c r="H272" s="67"/>
      <c r="I272" s="67"/>
      <c r="J272" s="67"/>
      <c r="K272" s="68"/>
      <c r="L272" s="69"/>
      <c r="M272" s="70"/>
      <c r="N272" s="71"/>
      <c r="O272" s="85"/>
    </row>
    <row r="273" spans="1:15" ht="30" customHeight="1">
      <c r="A273" s="76"/>
      <c r="B273" s="65"/>
      <c r="C273" s="65"/>
      <c r="D273" s="65"/>
      <c r="E273" s="71"/>
      <c r="F273" s="67"/>
      <c r="G273" s="67"/>
      <c r="H273" s="67"/>
      <c r="I273" s="67"/>
      <c r="J273" s="67"/>
      <c r="K273" s="68"/>
      <c r="L273" s="69"/>
      <c r="M273" s="70"/>
      <c r="N273" s="71"/>
      <c r="O273" s="85"/>
    </row>
    <row r="274" spans="1:15" ht="30" customHeight="1">
      <c r="A274" s="76"/>
      <c r="B274" s="65"/>
      <c r="C274" s="65"/>
      <c r="D274" s="65"/>
      <c r="E274" s="71"/>
      <c r="F274" s="67"/>
      <c r="G274" s="67"/>
      <c r="H274" s="67"/>
      <c r="I274" s="67"/>
      <c r="J274" s="67"/>
      <c r="K274" s="68"/>
      <c r="L274" s="69"/>
      <c r="M274" s="70"/>
      <c r="N274" s="71"/>
      <c r="O274" s="85"/>
    </row>
    <row r="275" spans="1:15" ht="30" customHeight="1">
      <c r="A275" s="76"/>
      <c r="B275" s="65"/>
      <c r="C275" s="65"/>
      <c r="D275" s="65"/>
      <c r="E275" s="71"/>
      <c r="F275" s="67"/>
      <c r="G275" s="67"/>
      <c r="H275" s="67"/>
      <c r="I275" s="67"/>
      <c r="J275" s="67"/>
      <c r="K275" s="68"/>
      <c r="L275" s="69"/>
      <c r="M275" s="70"/>
      <c r="N275" s="71"/>
      <c r="O275" s="85"/>
    </row>
    <row r="276" spans="1:15" ht="30" customHeight="1">
      <c r="A276" s="76"/>
      <c r="B276" s="65"/>
      <c r="C276" s="65"/>
      <c r="D276" s="65"/>
      <c r="E276" s="71"/>
      <c r="F276" s="67"/>
      <c r="G276" s="67"/>
      <c r="H276" s="67"/>
      <c r="I276" s="67"/>
      <c r="J276" s="67"/>
      <c r="K276" s="68"/>
      <c r="L276" s="69"/>
      <c r="M276" s="70"/>
      <c r="N276" s="71"/>
      <c r="O276" s="85"/>
    </row>
    <row r="277" spans="1:15" ht="30" customHeight="1">
      <c r="A277" s="76"/>
      <c r="B277" s="65"/>
      <c r="C277" s="65"/>
      <c r="D277" s="65"/>
      <c r="E277" s="71"/>
      <c r="F277" s="67"/>
      <c r="G277" s="67"/>
      <c r="H277" s="67"/>
      <c r="I277" s="67"/>
      <c r="J277" s="67"/>
      <c r="K277" s="68"/>
      <c r="L277" s="69"/>
      <c r="M277" s="70"/>
      <c r="N277" s="71"/>
      <c r="O277" s="85"/>
    </row>
    <row r="278" spans="1:15" ht="30" customHeight="1">
      <c r="A278" s="76"/>
      <c r="B278" s="65"/>
      <c r="C278" s="65"/>
      <c r="D278" s="65"/>
      <c r="E278" s="71"/>
      <c r="F278" s="67"/>
      <c r="G278" s="67"/>
      <c r="H278" s="67"/>
      <c r="I278" s="67"/>
      <c r="J278" s="67"/>
      <c r="K278" s="68"/>
      <c r="L278" s="69"/>
      <c r="M278" s="70"/>
      <c r="N278" s="71"/>
      <c r="O278" s="85"/>
    </row>
    <row r="279" spans="1:15" ht="30" customHeight="1">
      <c r="A279" s="76"/>
      <c r="B279" s="65"/>
      <c r="C279" s="65"/>
      <c r="D279" s="65"/>
      <c r="E279" s="71"/>
      <c r="F279" s="67"/>
      <c r="G279" s="67"/>
      <c r="H279" s="67"/>
      <c r="I279" s="67"/>
      <c r="J279" s="67"/>
      <c r="K279" s="68"/>
      <c r="L279" s="69"/>
      <c r="M279" s="70"/>
      <c r="N279" s="71"/>
      <c r="O279" s="85"/>
    </row>
    <row r="280" spans="1:15" ht="30" customHeight="1">
      <c r="A280" s="76"/>
      <c r="B280" s="65"/>
      <c r="C280" s="65"/>
      <c r="D280" s="65"/>
      <c r="E280" s="71"/>
      <c r="F280" s="67"/>
      <c r="G280" s="67"/>
      <c r="H280" s="67"/>
      <c r="I280" s="67"/>
      <c r="J280" s="67"/>
      <c r="K280" s="68"/>
      <c r="L280" s="69"/>
      <c r="M280" s="70"/>
      <c r="N280" s="71"/>
      <c r="O280" s="85"/>
    </row>
    <row r="281" spans="1:15" ht="30" customHeight="1">
      <c r="A281" s="76"/>
      <c r="B281" s="65"/>
      <c r="C281" s="65"/>
      <c r="D281" s="65"/>
      <c r="E281" s="71"/>
      <c r="F281" s="67"/>
      <c r="G281" s="67"/>
      <c r="H281" s="67"/>
      <c r="I281" s="67"/>
      <c r="J281" s="67"/>
      <c r="K281" s="68"/>
      <c r="L281" s="69"/>
      <c r="M281" s="70"/>
      <c r="N281" s="71"/>
      <c r="O281" s="85"/>
    </row>
    <row r="282" spans="1:15" ht="30" customHeight="1">
      <c r="A282" s="76"/>
      <c r="B282" s="65"/>
      <c r="C282" s="65"/>
      <c r="D282" s="65"/>
      <c r="E282" s="71"/>
      <c r="F282" s="67"/>
      <c r="G282" s="67"/>
      <c r="H282" s="67"/>
      <c r="I282" s="67"/>
      <c r="J282" s="67"/>
      <c r="K282" s="68"/>
      <c r="L282" s="69"/>
      <c r="M282" s="70"/>
      <c r="N282" s="71"/>
      <c r="O282" s="85"/>
    </row>
    <row r="283" spans="1:15" ht="30" customHeight="1">
      <c r="A283" s="76"/>
      <c r="B283" s="65"/>
      <c r="C283" s="65"/>
      <c r="D283" s="65"/>
      <c r="E283" s="71"/>
      <c r="F283" s="67"/>
      <c r="G283" s="67"/>
      <c r="H283" s="67"/>
      <c r="I283" s="67"/>
      <c r="J283" s="67"/>
      <c r="K283" s="68"/>
      <c r="L283" s="69"/>
      <c r="M283" s="70"/>
      <c r="N283" s="71"/>
      <c r="O283" s="85"/>
    </row>
    <row r="284" spans="1:15" ht="30" customHeight="1">
      <c r="A284" s="76"/>
      <c r="B284" s="65"/>
      <c r="C284" s="65"/>
      <c r="D284" s="65"/>
      <c r="E284" s="71"/>
      <c r="F284" s="67"/>
      <c r="G284" s="67"/>
      <c r="H284" s="67"/>
      <c r="I284" s="67"/>
      <c r="J284" s="67"/>
      <c r="K284" s="68"/>
      <c r="L284" s="69"/>
      <c r="M284" s="70"/>
      <c r="N284" s="71"/>
      <c r="O284" s="85"/>
    </row>
    <row r="285" spans="1:15" ht="30" customHeight="1">
      <c r="A285" s="76"/>
      <c r="B285" s="65"/>
      <c r="C285" s="65"/>
      <c r="D285" s="65"/>
      <c r="E285" s="71"/>
      <c r="F285" s="67"/>
      <c r="G285" s="67"/>
      <c r="H285" s="67"/>
      <c r="I285" s="67"/>
      <c r="J285" s="67"/>
      <c r="K285" s="68"/>
      <c r="L285" s="69"/>
      <c r="M285" s="70"/>
      <c r="N285" s="71"/>
      <c r="O285" s="85"/>
    </row>
    <row r="286" spans="1:15" ht="30" customHeight="1">
      <c r="A286" s="76"/>
      <c r="B286" s="65"/>
      <c r="C286" s="65"/>
      <c r="D286" s="65"/>
      <c r="E286" s="71"/>
      <c r="F286" s="67"/>
      <c r="G286" s="67"/>
      <c r="H286" s="67"/>
      <c r="I286" s="67"/>
      <c r="J286" s="67"/>
      <c r="K286" s="68"/>
      <c r="L286" s="69"/>
      <c r="M286" s="70"/>
      <c r="N286" s="71"/>
      <c r="O286" s="85"/>
    </row>
    <row r="287" spans="1:15" ht="30" customHeight="1">
      <c r="A287" s="76"/>
      <c r="B287" s="65"/>
      <c r="C287" s="65"/>
      <c r="D287" s="65"/>
      <c r="E287" s="71"/>
      <c r="F287" s="67"/>
      <c r="G287" s="67"/>
      <c r="H287" s="67"/>
      <c r="I287" s="67"/>
      <c r="J287" s="67"/>
      <c r="K287" s="68"/>
      <c r="L287" s="69"/>
      <c r="M287" s="70"/>
      <c r="N287" s="71"/>
      <c r="O287" s="85"/>
    </row>
    <row r="288" spans="1:15" ht="30" customHeight="1">
      <c r="A288" s="76"/>
      <c r="B288" s="65"/>
      <c r="C288" s="65"/>
      <c r="D288" s="65"/>
      <c r="E288" s="71"/>
      <c r="F288" s="67"/>
      <c r="G288" s="67"/>
      <c r="H288" s="67"/>
      <c r="I288" s="67"/>
      <c r="J288" s="67"/>
      <c r="K288" s="68"/>
      <c r="L288" s="69"/>
      <c r="M288" s="70"/>
      <c r="N288" s="71"/>
      <c r="O288" s="85"/>
    </row>
    <row r="289" spans="1:15" ht="30" customHeight="1">
      <c r="A289" s="76"/>
      <c r="B289" s="65"/>
      <c r="C289" s="65"/>
      <c r="D289" s="65"/>
      <c r="E289" s="71"/>
      <c r="F289" s="67"/>
      <c r="G289" s="67"/>
      <c r="H289" s="67"/>
      <c r="I289" s="67"/>
      <c r="J289" s="67"/>
      <c r="K289" s="68"/>
      <c r="L289" s="69"/>
      <c r="M289" s="70"/>
      <c r="N289" s="71"/>
      <c r="O289" s="85"/>
    </row>
    <row r="290" spans="1:15" ht="30" customHeight="1">
      <c r="A290" s="76"/>
      <c r="B290" s="65"/>
      <c r="C290" s="65"/>
      <c r="D290" s="65"/>
      <c r="E290" s="71"/>
      <c r="F290" s="67"/>
      <c r="G290" s="67"/>
      <c r="H290" s="67"/>
      <c r="I290" s="67"/>
      <c r="J290" s="67"/>
      <c r="K290" s="68"/>
      <c r="L290" s="69"/>
      <c r="M290" s="70"/>
      <c r="N290" s="71"/>
      <c r="O290" s="85"/>
    </row>
    <row r="291" spans="1:15" ht="30" customHeight="1">
      <c r="A291" s="76"/>
      <c r="B291" s="65"/>
      <c r="C291" s="65"/>
      <c r="D291" s="65"/>
      <c r="E291" s="71"/>
      <c r="F291" s="67"/>
      <c r="G291" s="67"/>
      <c r="H291" s="67"/>
      <c r="I291" s="67"/>
      <c r="J291" s="67"/>
      <c r="K291" s="68"/>
      <c r="L291" s="69"/>
      <c r="M291" s="70"/>
      <c r="N291" s="71"/>
      <c r="O291" s="85"/>
    </row>
    <row r="292" spans="1:15" ht="30" customHeight="1">
      <c r="A292" s="76"/>
      <c r="B292" s="65"/>
      <c r="C292" s="65"/>
      <c r="D292" s="65"/>
      <c r="E292" s="71"/>
      <c r="F292" s="67"/>
      <c r="G292" s="67"/>
      <c r="H292" s="67"/>
      <c r="I292" s="67"/>
      <c r="J292" s="67"/>
      <c r="K292" s="68"/>
      <c r="L292" s="69"/>
      <c r="M292" s="70"/>
      <c r="N292" s="71"/>
      <c r="O292" s="85"/>
    </row>
    <row r="293" spans="1:15" ht="30" customHeight="1">
      <c r="A293" s="76"/>
      <c r="B293" s="65"/>
      <c r="C293" s="65"/>
      <c r="D293" s="65"/>
      <c r="E293" s="71"/>
      <c r="F293" s="67"/>
      <c r="G293" s="67"/>
      <c r="H293" s="67"/>
      <c r="I293" s="67"/>
      <c r="J293" s="67"/>
      <c r="K293" s="68"/>
      <c r="L293" s="69"/>
      <c r="M293" s="70"/>
      <c r="N293" s="71"/>
      <c r="O293" s="85"/>
    </row>
    <row r="294" spans="1:15" ht="30" customHeight="1">
      <c r="A294" s="76"/>
      <c r="B294" s="65"/>
      <c r="C294" s="65"/>
      <c r="D294" s="65"/>
      <c r="E294" s="71"/>
      <c r="F294" s="67"/>
      <c r="G294" s="67"/>
      <c r="H294" s="67"/>
      <c r="I294" s="67"/>
      <c r="J294" s="67"/>
      <c r="K294" s="68"/>
      <c r="L294" s="69"/>
      <c r="M294" s="70"/>
      <c r="N294" s="71"/>
      <c r="O294" s="85"/>
    </row>
    <row r="295" spans="1:15" ht="30" customHeight="1">
      <c r="A295" s="76"/>
      <c r="B295" s="65"/>
      <c r="C295" s="65"/>
      <c r="D295" s="65"/>
      <c r="E295" s="71"/>
      <c r="F295" s="67"/>
      <c r="G295" s="67"/>
      <c r="H295" s="67"/>
      <c r="I295" s="67"/>
      <c r="J295" s="67"/>
      <c r="K295" s="68"/>
      <c r="L295" s="69"/>
      <c r="M295" s="70"/>
      <c r="N295" s="71"/>
      <c r="O295" s="85"/>
    </row>
    <row r="296" spans="1:15" ht="30" customHeight="1">
      <c r="A296" s="76"/>
      <c r="B296" s="65"/>
      <c r="C296" s="65"/>
      <c r="D296" s="65"/>
      <c r="E296" s="71"/>
      <c r="F296" s="67"/>
      <c r="G296" s="67"/>
      <c r="H296" s="67"/>
      <c r="I296" s="67"/>
      <c r="J296" s="67"/>
      <c r="K296" s="68"/>
      <c r="L296" s="69"/>
      <c r="M296" s="70"/>
      <c r="N296" s="71"/>
      <c r="O296" s="85"/>
    </row>
    <row r="297" spans="1:15" ht="30" customHeight="1">
      <c r="A297" s="76"/>
      <c r="B297" s="65"/>
      <c r="C297" s="65"/>
      <c r="D297" s="65"/>
      <c r="E297" s="71"/>
      <c r="F297" s="67"/>
      <c r="G297" s="67"/>
      <c r="H297" s="67"/>
      <c r="I297" s="67"/>
      <c r="J297" s="67"/>
      <c r="K297" s="68"/>
      <c r="L297" s="69"/>
      <c r="M297" s="70"/>
      <c r="N297" s="71"/>
      <c r="O297" s="85"/>
    </row>
    <row r="298" spans="1:15" ht="30" customHeight="1">
      <c r="A298" s="76"/>
      <c r="B298" s="65"/>
      <c r="C298" s="65"/>
      <c r="D298" s="65"/>
      <c r="E298" s="71"/>
      <c r="F298" s="67"/>
      <c r="G298" s="67"/>
      <c r="H298" s="67"/>
      <c r="I298" s="67"/>
      <c r="J298" s="67"/>
      <c r="K298" s="68"/>
      <c r="L298" s="69"/>
      <c r="M298" s="70"/>
      <c r="N298" s="71"/>
      <c r="O298" s="85"/>
    </row>
    <row r="299" spans="1:15" ht="30" customHeight="1">
      <c r="A299" s="76"/>
      <c r="B299" s="65"/>
      <c r="C299" s="65"/>
      <c r="D299" s="65"/>
      <c r="E299" s="71"/>
      <c r="F299" s="67"/>
      <c r="G299" s="67"/>
      <c r="H299" s="67"/>
      <c r="I299" s="67"/>
      <c r="J299" s="67"/>
      <c r="K299" s="68"/>
      <c r="L299" s="69"/>
      <c r="M299" s="70"/>
      <c r="N299" s="71"/>
      <c r="O299" s="85"/>
    </row>
    <row r="300" spans="1:15" ht="30" customHeight="1">
      <c r="A300" s="76"/>
      <c r="B300" s="65"/>
      <c r="C300" s="65"/>
      <c r="D300" s="65"/>
      <c r="E300" s="71"/>
      <c r="F300" s="67"/>
      <c r="G300" s="67"/>
      <c r="H300" s="67"/>
      <c r="I300" s="67"/>
      <c r="J300" s="67"/>
      <c r="K300" s="68"/>
      <c r="L300" s="69"/>
      <c r="M300" s="70"/>
      <c r="N300" s="71"/>
      <c r="O300" s="85"/>
    </row>
    <row r="301" spans="1:15" ht="30" customHeight="1">
      <c r="A301" s="76"/>
      <c r="B301" s="65"/>
      <c r="C301" s="65"/>
      <c r="D301" s="65"/>
      <c r="E301" s="71"/>
      <c r="F301" s="67"/>
      <c r="G301" s="67"/>
      <c r="H301" s="67"/>
      <c r="I301" s="67"/>
      <c r="J301" s="67"/>
      <c r="K301" s="68"/>
      <c r="L301" s="69"/>
      <c r="M301" s="70"/>
      <c r="N301" s="71"/>
      <c r="O301" s="85"/>
    </row>
    <row r="302" spans="1:15" ht="30" customHeight="1">
      <c r="A302" s="76"/>
      <c r="B302" s="65"/>
      <c r="C302" s="65"/>
      <c r="D302" s="65"/>
      <c r="E302" s="71"/>
      <c r="F302" s="67"/>
      <c r="G302" s="67"/>
      <c r="H302" s="67"/>
      <c r="I302" s="67"/>
      <c r="J302" s="67"/>
      <c r="K302" s="68"/>
      <c r="L302" s="69"/>
      <c r="M302" s="70"/>
      <c r="N302" s="71"/>
      <c r="O302" s="85"/>
    </row>
    <row r="303" spans="1:15" ht="30" customHeight="1">
      <c r="A303" s="76"/>
      <c r="B303" s="65"/>
      <c r="C303" s="65"/>
      <c r="D303" s="65"/>
      <c r="E303" s="71"/>
      <c r="F303" s="67"/>
      <c r="G303" s="67"/>
      <c r="H303" s="67"/>
      <c r="I303" s="67"/>
      <c r="J303" s="67"/>
      <c r="K303" s="68"/>
      <c r="L303" s="69"/>
      <c r="M303" s="70"/>
      <c r="N303" s="71"/>
      <c r="O303" s="85"/>
    </row>
    <row r="304" spans="1:15" ht="30" customHeight="1">
      <c r="A304" s="76"/>
      <c r="B304" s="65"/>
      <c r="C304" s="65"/>
      <c r="D304" s="65"/>
      <c r="E304" s="71"/>
      <c r="F304" s="67"/>
      <c r="G304" s="67"/>
      <c r="H304" s="67"/>
      <c r="I304" s="67"/>
      <c r="J304" s="67"/>
      <c r="K304" s="68"/>
      <c r="L304" s="69"/>
      <c r="M304" s="70"/>
      <c r="N304" s="71"/>
      <c r="O304" s="85"/>
    </row>
    <row r="305" spans="1:15" ht="30" customHeight="1">
      <c r="A305" s="76"/>
      <c r="B305" s="65"/>
      <c r="C305" s="65"/>
      <c r="D305" s="65"/>
      <c r="E305" s="71"/>
      <c r="F305" s="67"/>
      <c r="G305" s="67"/>
      <c r="H305" s="67"/>
      <c r="I305" s="67"/>
      <c r="J305" s="67"/>
      <c r="K305" s="68"/>
      <c r="L305" s="69"/>
      <c r="M305" s="70"/>
      <c r="N305" s="71"/>
      <c r="O305" s="85"/>
    </row>
    <row r="306" spans="1:15" ht="30" customHeight="1">
      <c r="A306" s="76"/>
      <c r="B306" s="65"/>
      <c r="C306" s="65"/>
      <c r="D306" s="65"/>
      <c r="E306" s="71"/>
      <c r="F306" s="67"/>
      <c r="G306" s="67"/>
      <c r="H306" s="67"/>
      <c r="I306" s="67"/>
      <c r="J306" s="67"/>
      <c r="K306" s="68"/>
      <c r="L306" s="69"/>
      <c r="M306" s="70"/>
      <c r="N306" s="71"/>
      <c r="O306" s="85"/>
    </row>
    <row r="307" spans="1:15" ht="30" customHeight="1">
      <c r="A307" s="76"/>
      <c r="B307" s="65"/>
      <c r="C307" s="65"/>
      <c r="D307" s="65"/>
      <c r="E307" s="71"/>
      <c r="F307" s="67"/>
      <c r="G307" s="67"/>
      <c r="H307" s="67"/>
      <c r="I307" s="67"/>
      <c r="J307" s="67"/>
      <c r="K307" s="68"/>
      <c r="L307" s="69"/>
      <c r="M307" s="70"/>
      <c r="N307" s="71"/>
      <c r="O307" s="85"/>
    </row>
    <row r="308" spans="1:15" ht="30" customHeight="1">
      <c r="A308" s="76"/>
      <c r="B308" s="65"/>
      <c r="C308" s="65"/>
      <c r="D308" s="65"/>
      <c r="E308" s="71"/>
      <c r="F308" s="67"/>
      <c r="G308" s="67"/>
      <c r="H308" s="67"/>
      <c r="I308" s="67"/>
      <c r="J308" s="67"/>
      <c r="K308" s="68"/>
      <c r="L308" s="69"/>
      <c r="M308" s="70"/>
      <c r="N308" s="71"/>
      <c r="O308" s="85"/>
    </row>
    <row r="309" spans="1:15" ht="30" customHeight="1">
      <c r="A309" s="76"/>
      <c r="B309" s="65"/>
      <c r="C309" s="65"/>
      <c r="D309" s="65"/>
      <c r="E309" s="71"/>
      <c r="F309" s="67"/>
      <c r="G309" s="67"/>
      <c r="H309" s="67"/>
      <c r="I309" s="67"/>
      <c r="J309" s="67"/>
      <c r="K309" s="68"/>
      <c r="L309" s="69"/>
      <c r="M309" s="70"/>
      <c r="N309" s="71"/>
      <c r="O309" s="85"/>
    </row>
    <row r="310" spans="1:15" ht="30" customHeight="1">
      <c r="A310" s="76"/>
      <c r="B310" s="65"/>
      <c r="C310" s="65"/>
      <c r="D310" s="65"/>
      <c r="E310" s="71"/>
      <c r="F310" s="67"/>
      <c r="G310" s="67"/>
      <c r="H310" s="67"/>
      <c r="I310" s="67"/>
      <c r="J310" s="67"/>
      <c r="K310" s="68"/>
      <c r="L310" s="69"/>
      <c r="M310" s="70"/>
      <c r="N310" s="71"/>
      <c r="O310" s="85"/>
    </row>
    <row r="311" spans="1:15" ht="30" customHeight="1">
      <c r="A311" s="76"/>
      <c r="B311" s="65"/>
      <c r="C311" s="65"/>
      <c r="D311" s="65"/>
      <c r="E311" s="71"/>
      <c r="F311" s="67"/>
      <c r="G311" s="67"/>
      <c r="H311" s="67"/>
      <c r="I311" s="67"/>
      <c r="J311" s="67"/>
      <c r="K311" s="68"/>
      <c r="L311" s="69"/>
      <c r="M311" s="70"/>
      <c r="N311" s="71"/>
      <c r="O311" s="85"/>
    </row>
    <row r="312" spans="1:15" ht="30" customHeight="1">
      <c r="A312" s="76"/>
      <c r="B312" s="65"/>
      <c r="C312" s="65"/>
      <c r="D312" s="65"/>
      <c r="E312" s="71"/>
      <c r="F312" s="67"/>
      <c r="G312" s="67"/>
      <c r="H312" s="67"/>
      <c r="I312" s="67"/>
      <c r="J312" s="67"/>
      <c r="K312" s="68"/>
      <c r="L312" s="69"/>
      <c r="M312" s="70"/>
      <c r="N312" s="71"/>
      <c r="O312" s="85"/>
    </row>
    <row r="313" spans="1:15" ht="30" customHeight="1">
      <c r="A313" s="76"/>
      <c r="B313" s="65"/>
      <c r="C313" s="65"/>
      <c r="D313" s="65"/>
      <c r="E313" s="71"/>
      <c r="F313" s="67"/>
      <c r="G313" s="67"/>
      <c r="H313" s="67"/>
      <c r="I313" s="67"/>
      <c r="J313" s="67"/>
      <c r="K313" s="68"/>
      <c r="L313" s="69"/>
      <c r="M313" s="70"/>
      <c r="N313" s="71"/>
      <c r="O313" s="85"/>
    </row>
    <row r="314" spans="1:15" ht="30" customHeight="1">
      <c r="A314" s="76"/>
      <c r="B314" s="65"/>
      <c r="C314" s="65"/>
      <c r="D314" s="65"/>
      <c r="E314" s="71"/>
      <c r="F314" s="67"/>
      <c r="G314" s="67"/>
      <c r="H314" s="67"/>
      <c r="I314" s="67"/>
      <c r="J314" s="67"/>
      <c r="K314" s="68"/>
      <c r="L314" s="69"/>
      <c r="M314" s="70"/>
      <c r="N314" s="71"/>
      <c r="O314" s="85"/>
    </row>
    <row r="315" spans="1:15" ht="30" customHeight="1">
      <c r="A315" s="76"/>
      <c r="B315" s="65"/>
      <c r="C315" s="65"/>
      <c r="D315" s="65"/>
      <c r="E315" s="71"/>
      <c r="F315" s="67"/>
      <c r="G315" s="67"/>
      <c r="H315" s="67"/>
      <c r="I315" s="67"/>
      <c r="J315" s="67"/>
      <c r="K315" s="68"/>
      <c r="L315" s="69"/>
      <c r="M315" s="70"/>
      <c r="N315" s="71"/>
      <c r="O315" s="85"/>
    </row>
    <row r="316" spans="1:15" ht="30" customHeight="1">
      <c r="A316" s="76"/>
      <c r="B316" s="65"/>
      <c r="C316" s="65"/>
      <c r="D316" s="65"/>
      <c r="E316" s="71"/>
      <c r="F316" s="67"/>
      <c r="G316" s="67"/>
      <c r="H316" s="67"/>
      <c r="I316" s="67"/>
      <c r="J316" s="67"/>
      <c r="K316" s="68"/>
      <c r="L316" s="69"/>
      <c r="M316" s="70"/>
      <c r="N316" s="71"/>
      <c r="O316" s="85"/>
    </row>
    <row r="317" spans="1:15" ht="30" customHeight="1">
      <c r="A317" s="76"/>
      <c r="B317" s="65"/>
      <c r="C317" s="65"/>
      <c r="D317" s="65"/>
      <c r="E317" s="71"/>
      <c r="F317" s="67"/>
      <c r="G317" s="67"/>
      <c r="H317" s="67"/>
      <c r="I317" s="67"/>
      <c r="J317" s="67"/>
      <c r="K317" s="68"/>
      <c r="L317" s="69"/>
      <c r="M317" s="70"/>
      <c r="N317" s="71"/>
      <c r="O317" s="85"/>
    </row>
    <row r="318" spans="1:15" ht="30" customHeight="1">
      <c r="A318" s="76"/>
      <c r="B318" s="65"/>
      <c r="C318" s="65"/>
      <c r="D318" s="65"/>
      <c r="E318" s="71"/>
      <c r="F318" s="67"/>
      <c r="G318" s="67"/>
      <c r="H318" s="67"/>
      <c r="I318" s="67"/>
      <c r="J318" s="67"/>
      <c r="K318" s="68"/>
      <c r="L318" s="69"/>
      <c r="M318" s="70"/>
      <c r="N318" s="71"/>
      <c r="O318" s="85"/>
    </row>
    <row r="319" spans="1:15" ht="30" customHeight="1">
      <c r="A319" s="76"/>
      <c r="B319" s="65"/>
      <c r="C319" s="65"/>
      <c r="D319" s="65"/>
      <c r="E319" s="71"/>
      <c r="F319" s="67"/>
      <c r="G319" s="67"/>
      <c r="H319" s="67"/>
      <c r="I319" s="67"/>
      <c r="J319" s="67"/>
      <c r="K319" s="68"/>
      <c r="L319" s="69"/>
      <c r="M319" s="70"/>
      <c r="N319" s="71"/>
      <c r="O319" s="85"/>
    </row>
    <row r="320" spans="1:15" ht="30" customHeight="1">
      <c r="A320" s="76"/>
      <c r="B320" s="65"/>
      <c r="C320" s="65"/>
      <c r="D320" s="65"/>
      <c r="E320" s="71"/>
      <c r="F320" s="67"/>
      <c r="G320" s="67"/>
      <c r="H320" s="67"/>
      <c r="I320" s="67"/>
      <c r="J320" s="67"/>
      <c r="K320" s="68"/>
      <c r="L320" s="69"/>
      <c r="M320" s="70"/>
      <c r="N320" s="71"/>
      <c r="O320" s="85"/>
    </row>
    <row r="321" spans="1:15" ht="30" customHeight="1">
      <c r="A321" s="76"/>
      <c r="B321" s="65"/>
      <c r="C321" s="65"/>
      <c r="D321" s="65"/>
      <c r="E321" s="71"/>
      <c r="F321" s="67"/>
      <c r="G321" s="67"/>
      <c r="H321" s="67"/>
      <c r="I321" s="67"/>
      <c r="J321" s="67"/>
      <c r="K321" s="68"/>
      <c r="L321" s="69"/>
      <c r="M321" s="70"/>
      <c r="N321" s="71"/>
      <c r="O321" s="85"/>
    </row>
    <row r="322" spans="1:15" ht="30" customHeight="1">
      <c r="A322" s="76"/>
      <c r="B322" s="65"/>
      <c r="C322" s="65"/>
      <c r="D322" s="65"/>
      <c r="E322" s="71"/>
      <c r="F322" s="67"/>
      <c r="G322" s="67"/>
      <c r="H322" s="67"/>
      <c r="I322" s="67"/>
      <c r="J322" s="67"/>
      <c r="K322" s="68"/>
      <c r="L322" s="69"/>
      <c r="M322" s="70"/>
      <c r="N322" s="71"/>
      <c r="O322" s="85"/>
    </row>
    <row r="323" spans="1:15" ht="30" customHeight="1">
      <c r="A323" s="76"/>
      <c r="B323" s="65"/>
      <c r="C323" s="65"/>
      <c r="D323" s="65"/>
      <c r="E323" s="71"/>
      <c r="F323" s="67"/>
      <c r="G323" s="67"/>
      <c r="H323" s="67"/>
      <c r="I323" s="67"/>
      <c r="J323" s="67"/>
      <c r="K323" s="68"/>
      <c r="L323" s="69"/>
      <c r="M323" s="70"/>
      <c r="N323" s="71"/>
      <c r="O323" s="85"/>
    </row>
    <row r="324" spans="1:15" ht="30" customHeight="1">
      <c r="A324" s="76"/>
      <c r="B324" s="65"/>
      <c r="C324" s="65"/>
      <c r="D324" s="65"/>
      <c r="E324" s="71"/>
      <c r="F324" s="67"/>
      <c r="G324" s="67"/>
      <c r="H324" s="67"/>
      <c r="I324" s="67"/>
      <c r="J324" s="67"/>
      <c r="K324" s="68"/>
      <c r="L324" s="69"/>
      <c r="M324" s="70"/>
      <c r="N324" s="71"/>
      <c r="O324" s="85"/>
    </row>
    <row r="325" spans="1:15" ht="30" customHeight="1">
      <c r="A325" s="76"/>
      <c r="B325" s="65"/>
      <c r="C325" s="65"/>
      <c r="D325" s="65"/>
      <c r="E325" s="71"/>
      <c r="F325" s="67"/>
      <c r="G325" s="67"/>
      <c r="H325" s="67"/>
      <c r="I325" s="67"/>
      <c r="J325" s="67"/>
      <c r="K325" s="68"/>
      <c r="L325" s="69"/>
      <c r="M325" s="70"/>
      <c r="N325" s="71"/>
      <c r="O325" s="85"/>
    </row>
    <row r="326" spans="1:15" ht="30" customHeight="1">
      <c r="A326" s="76"/>
      <c r="B326" s="65"/>
      <c r="C326" s="65"/>
      <c r="D326" s="65"/>
      <c r="E326" s="71"/>
      <c r="F326" s="67"/>
      <c r="G326" s="67"/>
      <c r="H326" s="67"/>
      <c r="I326" s="67"/>
      <c r="J326" s="67"/>
      <c r="K326" s="68"/>
      <c r="L326" s="69"/>
      <c r="M326" s="70"/>
      <c r="N326" s="71"/>
      <c r="O326" s="85"/>
    </row>
    <row r="327" spans="1:15" ht="30" customHeight="1">
      <c r="A327" s="76"/>
      <c r="B327" s="65"/>
      <c r="C327" s="65"/>
      <c r="D327" s="65"/>
      <c r="E327" s="71"/>
      <c r="F327" s="67"/>
      <c r="G327" s="67"/>
      <c r="H327" s="67"/>
      <c r="I327" s="67"/>
      <c r="J327" s="67"/>
      <c r="K327" s="68"/>
      <c r="L327" s="69"/>
      <c r="M327" s="70"/>
      <c r="N327" s="71"/>
      <c r="O327" s="85"/>
    </row>
    <row r="328" spans="1:15" ht="30" customHeight="1">
      <c r="A328" s="76"/>
      <c r="B328" s="65"/>
      <c r="C328" s="65"/>
      <c r="D328" s="65"/>
      <c r="E328" s="71"/>
      <c r="F328" s="67"/>
      <c r="G328" s="67"/>
      <c r="H328" s="67"/>
      <c r="I328" s="67"/>
      <c r="J328" s="67"/>
      <c r="K328" s="68"/>
      <c r="L328" s="69"/>
      <c r="M328" s="70"/>
      <c r="N328" s="71"/>
      <c r="O328" s="85"/>
    </row>
    <row r="329" spans="1:15" ht="30" customHeight="1">
      <c r="A329" s="76"/>
      <c r="B329" s="65"/>
      <c r="C329" s="65"/>
      <c r="D329" s="65"/>
      <c r="E329" s="71"/>
      <c r="F329" s="67"/>
      <c r="G329" s="67"/>
      <c r="H329" s="67"/>
      <c r="I329" s="67"/>
      <c r="J329" s="67"/>
      <c r="K329" s="68"/>
      <c r="L329" s="69"/>
      <c r="M329" s="70"/>
      <c r="N329" s="71"/>
      <c r="O329" s="85"/>
    </row>
    <row r="330" spans="1:15" ht="30" customHeight="1">
      <c r="A330" s="76"/>
      <c r="B330" s="65"/>
      <c r="C330" s="65"/>
      <c r="D330" s="65"/>
      <c r="E330" s="71"/>
      <c r="F330" s="67"/>
      <c r="G330" s="67"/>
      <c r="H330" s="67"/>
      <c r="I330" s="67"/>
      <c r="J330" s="67"/>
      <c r="K330" s="68"/>
      <c r="L330" s="69"/>
      <c r="M330" s="70"/>
      <c r="N330" s="71"/>
      <c r="O330" s="85"/>
    </row>
    <row r="331" spans="1:15" ht="30" customHeight="1">
      <c r="A331" s="76"/>
      <c r="B331" s="65"/>
      <c r="C331" s="65"/>
      <c r="D331" s="65"/>
      <c r="E331" s="71"/>
      <c r="F331" s="67"/>
      <c r="G331" s="67"/>
      <c r="H331" s="67"/>
      <c r="I331" s="67"/>
      <c r="J331" s="67"/>
      <c r="K331" s="68"/>
      <c r="L331" s="69"/>
      <c r="M331" s="70"/>
      <c r="N331" s="71"/>
      <c r="O331" s="85"/>
    </row>
    <row r="332" spans="1:15" ht="30" customHeight="1">
      <c r="A332" s="76"/>
      <c r="B332" s="65"/>
      <c r="C332" s="65"/>
      <c r="D332" s="65"/>
      <c r="E332" s="71"/>
      <c r="F332" s="67"/>
      <c r="G332" s="67"/>
      <c r="H332" s="67"/>
      <c r="I332" s="67"/>
      <c r="J332" s="67"/>
      <c r="K332" s="68"/>
      <c r="L332" s="69"/>
      <c r="M332" s="70"/>
      <c r="N332" s="71"/>
      <c r="O332" s="85"/>
    </row>
    <row r="333" spans="1:15" ht="30" customHeight="1">
      <c r="A333" s="76"/>
      <c r="B333" s="65"/>
      <c r="C333" s="65"/>
      <c r="D333" s="65"/>
      <c r="E333" s="71"/>
      <c r="F333" s="67"/>
      <c r="G333" s="67"/>
      <c r="H333" s="67"/>
      <c r="I333" s="67"/>
      <c r="J333" s="67"/>
      <c r="K333" s="68"/>
      <c r="L333" s="69"/>
      <c r="M333" s="70"/>
      <c r="N333" s="71"/>
      <c r="O333" s="85"/>
    </row>
    <row r="334" spans="1:15" ht="30" customHeight="1">
      <c r="A334" s="76"/>
      <c r="B334" s="65"/>
      <c r="C334" s="65"/>
      <c r="D334" s="65"/>
      <c r="E334" s="71"/>
      <c r="F334" s="67"/>
      <c r="G334" s="67"/>
      <c r="H334" s="67"/>
      <c r="I334" s="67"/>
      <c r="J334" s="67"/>
      <c r="K334" s="68"/>
      <c r="L334" s="69"/>
      <c r="M334" s="70"/>
      <c r="N334" s="71"/>
      <c r="O334" s="85"/>
    </row>
    <row r="335" spans="1:15" ht="30" customHeight="1">
      <c r="A335" s="76"/>
      <c r="B335" s="65"/>
      <c r="C335" s="65"/>
      <c r="D335" s="65"/>
      <c r="E335" s="71"/>
      <c r="F335" s="67"/>
      <c r="G335" s="67"/>
      <c r="H335" s="67"/>
      <c r="I335" s="67"/>
      <c r="J335" s="67"/>
      <c r="K335" s="68"/>
      <c r="L335" s="69"/>
      <c r="M335" s="70"/>
      <c r="N335" s="71"/>
      <c r="O335" s="85"/>
    </row>
    <row r="336" spans="1:15" ht="30" customHeight="1">
      <c r="A336" s="76"/>
      <c r="B336" s="65"/>
      <c r="C336" s="65"/>
      <c r="D336" s="65"/>
      <c r="E336" s="71"/>
      <c r="F336" s="67"/>
      <c r="G336" s="67"/>
      <c r="H336" s="67"/>
      <c r="I336" s="67"/>
      <c r="J336" s="67"/>
      <c r="K336" s="68"/>
      <c r="L336" s="69"/>
      <c r="M336" s="70"/>
      <c r="N336" s="71"/>
      <c r="O336" s="85"/>
    </row>
    <row r="337" spans="1:15" ht="30" customHeight="1">
      <c r="A337" s="76"/>
      <c r="B337" s="65"/>
      <c r="C337" s="65"/>
      <c r="D337" s="65"/>
      <c r="E337" s="71"/>
      <c r="F337" s="67"/>
      <c r="G337" s="67"/>
      <c r="H337" s="67"/>
      <c r="I337" s="67"/>
      <c r="J337" s="67"/>
      <c r="K337" s="68"/>
      <c r="L337" s="69"/>
      <c r="M337" s="70"/>
      <c r="N337" s="71"/>
      <c r="O337" s="85"/>
    </row>
    <row r="338" spans="1:15" ht="30" customHeight="1">
      <c r="A338" s="76"/>
      <c r="B338" s="65"/>
      <c r="C338" s="65"/>
      <c r="D338" s="65"/>
      <c r="E338" s="71"/>
      <c r="F338" s="67"/>
      <c r="G338" s="67"/>
      <c r="H338" s="67"/>
      <c r="I338" s="67"/>
      <c r="J338" s="67"/>
      <c r="K338" s="68"/>
      <c r="L338" s="69"/>
      <c r="M338" s="70"/>
      <c r="N338" s="71"/>
      <c r="O338" s="85"/>
    </row>
    <row r="339" spans="1:15" ht="30" customHeight="1">
      <c r="A339" s="76"/>
      <c r="B339" s="65"/>
      <c r="C339" s="65"/>
      <c r="D339" s="65"/>
      <c r="E339" s="71"/>
      <c r="F339" s="67"/>
      <c r="G339" s="67"/>
      <c r="H339" s="67"/>
      <c r="I339" s="67"/>
      <c r="J339" s="67"/>
      <c r="K339" s="68"/>
      <c r="L339" s="69"/>
      <c r="M339" s="70"/>
      <c r="N339" s="71"/>
      <c r="O339" s="85"/>
    </row>
    <row r="340" spans="1:15" ht="30" customHeight="1">
      <c r="A340" s="76"/>
      <c r="B340" s="65"/>
      <c r="C340" s="65"/>
      <c r="D340" s="65"/>
      <c r="E340" s="71"/>
      <c r="F340" s="67"/>
      <c r="G340" s="67"/>
      <c r="H340" s="67"/>
      <c r="I340" s="67"/>
      <c r="J340" s="67"/>
      <c r="K340" s="68"/>
      <c r="L340" s="69"/>
      <c r="M340" s="70"/>
      <c r="N340" s="71"/>
      <c r="O340" s="85"/>
    </row>
    <row r="341" spans="1:15" ht="30" customHeight="1">
      <c r="A341" s="76"/>
      <c r="B341" s="65"/>
      <c r="C341" s="65"/>
      <c r="D341" s="65"/>
      <c r="E341" s="71"/>
      <c r="F341" s="67"/>
      <c r="G341" s="67"/>
      <c r="H341" s="67"/>
      <c r="I341" s="67"/>
      <c r="J341" s="67"/>
      <c r="K341" s="68"/>
      <c r="L341" s="69"/>
      <c r="M341" s="70"/>
      <c r="N341" s="71"/>
      <c r="O341" s="85"/>
    </row>
    <row r="342" spans="1:15" ht="30" customHeight="1">
      <c r="A342" s="76"/>
      <c r="B342" s="65"/>
      <c r="C342" s="65"/>
      <c r="D342" s="65"/>
      <c r="E342" s="71"/>
      <c r="F342" s="67"/>
      <c r="G342" s="67"/>
      <c r="H342" s="67"/>
      <c r="I342" s="67"/>
      <c r="J342" s="67"/>
      <c r="K342" s="68"/>
      <c r="L342" s="69"/>
      <c r="M342" s="70"/>
      <c r="N342" s="71"/>
      <c r="O342" s="85"/>
    </row>
    <row r="343" spans="1:15" ht="30" customHeight="1">
      <c r="A343" s="76"/>
      <c r="B343" s="65"/>
      <c r="C343" s="65"/>
      <c r="D343" s="65"/>
      <c r="E343" s="71"/>
      <c r="F343" s="67"/>
      <c r="G343" s="67"/>
      <c r="H343" s="67"/>
      <c r="I343" s="67"/>
      <c r="J343" s="67"/>
      <c r="K343" s="68"/>
      <c r="L343" s="69"/>
      <c r="M343" s="70"/>
      <c r="N343" s="71"/>
      <c r="O343" s="85"/>
    </row>
    <row r="344" spans="1:15" ht="30" customHeight="1">
      <c r="A344" s="76"/>
      <c r="B344" s="65"/>
      <c r="C344" s="65"/>
      <c r="D344" s="65"/>
      <c r="E344" s="71"/>
      <c r="F344" s="67"/>
      <c r="G344" s="67"/>
      <c r="H344" s="67"/>
      <c r="I344" s="67"/>
      <c r="J344" s="67"/>
      <c r="K344" s="68"/>
      <c r="L344" s="69"/>
      <c r="M344" s="70"/>
      <c r="N344" s="71"/>
      <c r="O344" s="85"/>
    </row>
    <row r="345" spans="1:15" ht="30" customHeight="1">
      <c r="A345" s="76"/>
      <c r="B345" s="65"/>
      <c r="C345" s="65"/>
      <c r="D345" s="65"/>
      <c r="E345" s="71"/>
      <c r="F345" s="67"/>
      <c r="G345" s="67"/>
      <c r="H345" s="67"/>
      <c r="I345" s="67"/>
      <c r="J345" s="67"/>
      <c r="K345" s="68"/>
      <c r="L345" s="69"/>
      <c r="M345" s="70"/>
      <c r="N345" s="71"/>
      <c r="O345" s="85"/>
    </row>
    <row r="346" spans="1:15" ht="30" customHeight="1">
      <c r="A346" s="76"/>
      <c r="B346" s="65"/>
      <c r="C346" s="65"/>
      <c r="D346" s="65"/>
      <c r="E346" s="71"/>
      <c r="F346" s="67"/>
      <c r="G346" s="67"/>
      <c r="H346" s="67"/>
      <c r="I346" s="67"/>
      <c r="J346" s="67"/>
      <c r="K346" s="68"/>
      <c r="L346" s="69"/>
      <c r="M346" s="70"/>
      <c r="N346" s="71"/>
      <c r="O346" s="85"/>
    </row>
    <row r="347" spans="1:15" ht="30" customHeight="1">
      <c r="A347" s="76"/>
      <c r="B347" s="65"/>
      <c r="C347" s="65"/>
      <c r="D347" s="65"/>
      <c r="E347" s="71"/>
      <c r="F347" s="67"/>
      <c r="G347" s="67"/>
      <c r="H347" s="67"/>
      <c r="I347" s="67"/>
      <c r="J347" s="67"/>
      <c r="K347" s="68"/>
      <c r="L347" s="69"/>
      <c r="M347" s="70"/>
      <c r="N347" s="71"/>
      <c r="O347" s="85"/>
    </row>
    <row r="348" spans="1:15" ht="30" customHeight="1">
      <c r="A348" s="76"/>
      <c r="B348" s="65"/>
      <c r="C348" s="65"/>
      <c r="D348" s="65"/>
      <c r="E348" s="71"/>
      <c r="F348" s="67"/>
      <c r="G348" s="67"/>
      <c r="H348" s="67"/>
      <c r="I348" s="67"/>
      <c r="J348" s="67"/>
      <c r="K348" s="68"/>
      <c r="L348" s="69"/>
      <c r="M348" s="70"/>
      <c r="N348" s="71"/>
      <c r="O348" s="85"/>
    </row>
    <row r="349" spans="1:15" ht="30" customHeight="1">
      <c r="A349" s="76"/>
      <c r="B349" s="65"/>
      <c r="C349" s="65"/>
      <c r="D349" s="65"/>
      <c r="E349" s="71"/>
      <c r="F349" s="67"/>
      <c r="G349" s="67"/>
      <c r="H349" s="67"/>
      <c r="I349" s="67"/>
      <c r="J349" s="67"/>
      <c r="K349" s="68"/>
      <c r="L349" s="69"/>
      <c r="M349" s="70"/>
      <c r="N349" s="71"/>
      <c r="O349" s="85"/>
    </row>
    <row r="350" spans="1:15" ht="30" customHeight="1">
      <c r="A350" s="76"/>
      <c r="B350" s="65"/>
      <c r="C350" s="65"/>
      <c r="D350" s="65"/>
      <c r="E350" s="71"/>
      <c r="F350" s="67"/>
      <c r="G350" s="67"/>
      <c r="H350" s="67"/>
      <c r="I350" s="67"/>
      <c r="J350" s="67"/>
      <c r="K350" s="68"/>
      <c r="L350" s="69"/>
      <c r="M350" s="70"/>
      <c r="N350" s="71"/>
      <c r="O350" s="85"/>
    </row>
    <row r="351" spans="1:15" ht="30" customHeight="1">
      <c r="A351" s="76"/>
      <c r="B351" s="65"/>
      <c r="C351" s="65"/>
      <c r="D351" s="65"/>
      <c r="E351" s="71"/>
      <c r="F351" s="67"/>
      <c r="G351" s="67"/>
      <c r="H351" s="67"/>
      <c r="I351" s="67"/>
      <c r="J351" s="67"/>
      <c r="K351" s="68"/>
      <c r="L351" s="69"/>
      <c r="M351" s="70"/>
      <c r="N351" s="71"/>
      <c r="O351" s="85"/>
    </row>
    <row r="352" spans="1:15" ht="30" customHeight="1">
      <c r="A352" s="76"/>
      <c r="B352" s="65"/>
      <c r="C352" s="65"/>
      <c r="D352" s="65"/>
      <c r="E352" s="71"/>
      <c r="F352" s="67"/>
      <c r="G352" s="67"/>
      <c r="H352" s="67"/>
      <c r="I352" s="67"/>
      <c r="J352" s="67"/>
      <c r="K352" s="68"/>
      <c r="L352" s="69"/>
      <c r="M352" s="70"/>
      <c r="N352" s="71"/>
      <c r="O352" s="85"/>
    </row>
    <row r="353" spans="1:15" ht="30" customHeight="1">
      <c r="A353" s="76"/>
      <c r="B353" s="65"/>
      <c r="C353" s="65"/>
      <c r="D353" s="65"/>
      <c r="E353" s="71"/>
      <c r="F353" s="67"/>
      <c r="G353" s="67"/>
      <c r="H353" s="67"/>
      <c r="I353" s="67"/>
      <c r="J353" s="67"/>
      <c r="K353" s="68"/>
      <c r="L353" s="69"/>
      <c r="M353" s="70"/>
      <c r="N353" s="71"/>
      <c r="O353" s="85"/>
    </row>
    <row r="354" spans="1:15" ht="30" customHeight="1">
      <c r="A354" s="76"/>
      <c r="B354" s="65"/>
      <c r="C354" s="65"/>
      <c r="D354" s="65"/>
      <c r="E354" s="71"/>
      <c r="F354" s="67"/>
      <c r="G354" s="67"/>
      <c r="H354" s="67"/>
      <c r="I354" s="67"/>
      <c r="J354" s="67"/>
      <c r="K354" s="68"/>
      <c r="L354" s="69"/>
      <c r="M354" s="70"/>
      <c r="N354" s="71"/>
      <c r="O354" s="85"/>
    </row>
    <row r="355" spans="1:15" ht="30" customHeight="1">
      <c r="A355" s="76"/>
      <c r="B355" s="65"/>
      <c r="C355" s="65"/>
      <c r="D355" s="65"/>
      <c r="E355" s="71"/>
      <c r="F355" s="67"/>
      <c r="G355" s="67"/>
      <c r="H355" s="67"/>
      <c r="I355" s="67"/>
      <c r="J355" s="67"/>
      <c r="K355" s="68"/>
      <c r="L355" s="69"/>
      <c r="M355" s="70"/>
      <c r="N355" s="71"/>
      <c r="O355" s="85"/>
    </row>
    <row r="356" spans="1:15" ht="30" customHeight="1">
      <c r="A356" s="76"/>
      <c r="B356" s="65"/>
      <c r="C356" s="65"/>
      <c r="D356" s="65"/>
      <c r="E356" s="71"/>
      <c r="F356" s="67"/>
      <c r="G356" s="67"/>
      <c r="H356" s="67"/>
      <c r="I356" s="67"/>
      <c r="J356" s="67"/>
      <c r="K356" s="68"/>
      <c r="L356" s="69"/>
      <c r="M356" s="70"/>
      <c r="N356" s="71"/>
      <c r="O356" s="85"/>
    </row>
    <row r="357" spans="1:15" ht="30" customHeight="1">
      <c r="A357" s="76"/>
      <c r="B357" s="65"/>
      <c r="C357" s="65"/>
      <c r="D357" s="65"/>
      <c r="E357" s="71"/>
      <c r="F357" s="67"/>
      <c r="G357" s="67"/>
      <c r="H357" s="67"/>
      <c r="I357" s="67"/>
      <c r="J357" s="67"/>
      <c r="K357" s="68"/>
      <c r="L357" s="69"/>
      <c r="M357" s="70"/>
      <c r="N357" s="71"/>
      <c r="O357" s="85"/>
    </row>
    <row r="358" spans="1:15" ht="30" customHeight="1">
      <c r="A358" s="76"/>
      <c r="B358" s="65"/>
      <c r="C358" s="65"/>
      <c r="D358" s="65"/>
      <c r="E358" s="71"/>
      <c r="F358" s="67"/>
      <c r="G358" s="67"/>
      <c r="H358" s="67"/>
      <c r="I358" s="67"/>
      <c r="J358" s="67"/>
      <c r="K358" s="68"/>
      <c r="L358" s="69"/>
      <c r="M358" s="70"/>
      <c r="N358" s="71"/>
      <c r="O358" s="85"/>
    </row>
    <row r="359" spans="1:15" ht="30" customHeight="1">
      <c r="A359" s="76"/>
      <c r="B359" s="65"/>
      <c r="C359" s="65"/>
      <c r="D359" s="65"/>
      <c r="E359" s="71"/>
      <c r="F359" s="67"/>
      <c r="G359" s="67"/>
      <c r="H359" s="67"/>
      <c r="I359" s="67"/>
      <c r="J359" s="67"/>
      <c r="K359" s="68"/>
      <c r="L359" s="69"/>
      <c r="M359" s="70"/>
      <c r="N359" s="71"/>
      <c r="O359" s="85"/>
    </row>
    <row r="360" spans="1:15" ht="30" customHeight="1">
      <c r="A360" s="76"/>
      <c r="B360" s="65"/>
      <c r="C360" s="65"/>
      <c r="D360" s="65"/>
      <c r="E360" s="71"/>
      <c r="F360" s="67"/>
      <c r="G360" s="67"/>
      <c r="H360" s="67"/>
      <c r="I360" s="67"/>
      <c r="J360" s="67"/>
      <c r="K360" s="68"/>
      <c r="L360" s="69"/>
      <c r="M360" s="70"/>
      <c r="N360" s="71"/>
      <c r="O360" s="85"/>
    </row>
    <row r="361" spans="1:15" ht="30" customHeight="1">
      <c r="A361" s="76"/>
      <c r="B361" s="65"/>
      <c r="C361" s="65"/>
      <c r="D361" s="65"/>
      <c r="E361" s="71"/>
      <c r="F361" s="67"/>
      <c r="G361" s="67"/>
      <c r="H361" s="67"/>
      <c r="I361" s="67"/>
      <c r="J361" s="67"/>
      <c r="K361" s="68"/>
      <c r="L361" s="69"/>
      <c r="M361" s="70"/>
      <c r="N361" s="71"/>
      <c r="O361" s="85"/>
    </row>
    <row r="362" spans="1:15" ht="30" customHeight="1">
      <c r="A362" s="76"/>
      <c r="B362" s="65"/>
      <c r="C362" s="65"/>
      <c r="D362" s="65"/>
      <c r="E362" s="71"/>
      <c r="F362" s="67"/>
      <c r="G362" s="67"/>
      <c r="H362" s="67"/>
      <c r="I362" s="67"/>
      <c r="J362" s="67"/>
      <c r="K362" s="68"/>
      <c r="L362" s="69"/>
      <c r="M362" s="70"/>
      <c r="N362" s="71"/>
      <c r="O362" s="85"/>
    </row>
    <row r="363" spans="1:15" ht="30" customHeight="1">
      <c r="A363" s="76"/>
      <c r="B363" s="65"/>
      <c r="C363" s="65"/>
      <c r="D363" s="65"/>
      <c r="E363" s="71"/>
      <c r="F363" s="67"/>
      <c r="G363" s="67"/>
      <c r="H363" s="67"/>
      <c r="I363" s="67"/>
      <c r="J363" s="67"/>
      <c r="K363" s="68"/>
      <c r="L363" s="69"/>
      <c r="M363" s="70"/>
      <c r="N363" s="71"/>
      <c r="O363" s="85"/>
    </row>
    <row r="364" spans="1:15" ht="30" customHeight="1">
      <c r="A364" s="76"/>
      <c r="B364" s="65"/>
      <c r="C364" s="65"/>
      <c r="D364" s="65"/>
      <c r="E364" s="71"/>
      <c r="F364" s="67"/>
      <c r="G364" s="67"/>
      <c r="H364" s="67"/>
      <c r="I364" s="67"/>
      <c r="J364" s="67"/>
      <c r="K364" s="68"/>
      <c r="L364" s="69"/>
      <c r="M364" s="70"/>
      <c r="N364" s="71"/>
      <c r="O364" s="85"/>
    </row>
    <row r="365" spans="1:15" ht="30" customHeight="1">
      <c r="A365" s="76"/>
      <c r="B365" s="65"/>
      <c r="C365" s="65"/>
      <c r="D365" s="65"/>
      <c r="E365" s="71"/>
      <c r="F365" s="67"/>
      <c r="G365" s="67"/>
      <c r="H365" s="67"/>
      <c r="I365" s="67"/>
      <c r="J365" s="67"/>
      <c r="K365" s="68"/>
      <c r="L365" s="69"/>
      <c r="M365" s="70"/>
      <c r="N365" s="71"/>
      <c r="O365" s="85"/>
    </row>
    <row r="366" spans="1:15" ht="30" customHeight="1">
      <c r="A366" s="76"/>
      <c r="B366" s="65"/>
      <c r="C366" s="65"/>
      <c r="D366" s="65"/>
      <c r="E366" s="71"/>
      <c r="F366" s="67"/>
      <c r="G366" s="67"/>
      <c r="H366" s="67"/>
      <c r="I366" s="67"/>
      <c r="J366" s="67"/>
      <c r="K366" s="68"/>
      <c r="L366" s="69"/>
      <c r="M366" s="70"/>
      <c r="N366" s="71"/>
      <c r="O366" s="85"/>
    </row>
    <row r="367" spans="1:15" ht="30" customHeight="1">
      <c r="A367" s="76"/>
      <c r="B367" s="65"/>
      <c r="C367" s="65"/>
      <c r="D367" s="65"/>
      <c r="E367" s="71"/>
      <c r="F367" s="67"/>
      <c r="G367" s="67"/>
      <c r="H367" s="67"/>
      <c r="I367" s="67"/>
      <c r="J367" s="67"/>
      <c r="K367" s="68"/>
      <c r="L367" s="69"/>
      <c r="M367" s="70"/>
      <c r="N367" s="71"/>
      <c r="O367" s="85"/>
    </row>
    <row r="368" spans="1:15" ht="30" customHeight="1">
      <c r="A368" s="76"/>
      <c r="B368" s="65"/>
      <c r="C368" s="65"/>
      <c r="D368" s="65"/>
      <c r="E368" s="71"/>
      <c r="F368" s="67"/>
      <c r="G368" s="67"/>
      <c r="H368" s="67"/>
      <c r="I368" s="67"/>
      <c r="J368" s="67"/>
      <c r="K368" s="68"/>
      <c r="L368" s="69"/>
      <c r="M368" s="70"/>
      <c r="N368" s="71"/>
      <c r="O368" s="85"/>
    </row>
    <row r="369" spans="1:15" ht="30" customHeight="1">
      <c r="A369" s="76"/>
      <c r="B369" s="65"/>
      <c r="C369" s="65"/>
      <c r="D369" s="65"/>
      <c r="E369" s="71"/>
      <c r="F369" s="67"/>
      <c r="G369" s="67"/>
      <c r="H369" s="67"/>
      <c r="I369" s="67"/>
      <c r="J369" s="67"/>
      <c r="K369" s="68"/>
      <c r="L369" s="69"/>
      <c r="M369" s="70"/>
      <c r="N369" s="71"/>
      <c r="O369" s="85"/>
    </row>
    <row r="370" spans="1:15" ht="30" customHeight="1">
      <c r="A370" s="76"/>
      <c r="B370" s="65"/>
      <c r="C370" s="65"/>
      <c r="D370" s="65"/>
      <c r="E370" s="71"/>
      <c r="F370" s="67"/>
      <c r="G370" s="67"/>
      <c r="H370" s="67"/>
      <c r="I370" s="67"/>
      <c r="J370" s="67"/>
      <c r="K370" s="68"/>
      <c r="L370" s="69"/>
      <c r="M370" s="70"/>
      <c r="N370" s="71"/>
      <c r="O370" s="85"/>
    </row>
    <row r="371" spans="1:15" ht="30" customHeight="1">
      <c r="A371" s="76"/>
      <c r="B371" s="65"/>
      <c r="C371" s="65"/>
      <c r="D371" s="65"/>
      <c r="E371" s="71"/>
      <c r="F371" s="67"/>
      <c r="G371" s="67"/>
      <c r="H371" s="67"/>
      <c r="I371" s="67"/>
      <c r="J371" s="67"/>
      <c r="K371" s="68"/>
      <c r="L371" s="69"/>
      <c r="M371" s="70"/>
      <c r="N371" s="71"/>
      <c r="O371" s="85"/>
    </row>
    <row r="372" spans="1:15" ht="30" customHeight="1">
      <c r="A372" s="76"/>
      <c r="B372" s="65"/>
      <c r="C372" s="65"/>
      <c r="D372" s="65"/>
      <c r="E372" s="71"/>
      <c r="F372" s="67"/>
      <c r="G372" s="67"/>
      <c r="H372" s="67"/>
      <c r="I372" s="67"/>
      <c r="J372" s="67"/>
      <c r="K372" s="68"/>
      <c r="L372" s="69"/>
      <c r="M372" s="70"/>
      <c r="N372" s="71"/>
      <c r="O372" s="85"/>
    </row>
    <row r="373" spans="1:15" ht="30" customHeight="1">
      <c r="A373" s="76"/>
      <c r="B373" s="65"/>
      <c r="C373" s="65"/>
      <c r="D373" s="65"/>
      <c r="E373" s="71"/>
      <c r="F373" s="67"/>
      <c r="G373" s="67"/>
      <c r="H373" s="67"/>
      <c r="I373" s="67"/>
      <c r="J373" s="67"/>
      <c r="K373" s="68"/>
      <c r="L373" s="69"/>
      <c r="M373" s="70"/>
      <c r="N373" s="71"/>
      <c r="O373" s="85"/>
    </row>
    <row r="374" spans="1:15" ht="30" customHeight="1">
      <c r="A374" s="76"/>
      <c r="B374" s="65"/>
      <c r="C374" s="65"/>
      <c r="D374" s="65"/>
      <c r="E374" s="71"/>
      <c r="F374" s="67"/>
      <c r="G374" s="67"/>
      <c r="H374" s="67"/>
      <c r="I374" s="67"/>
      <c r="J374" s="67"/>
      <c r="K374" s="68"/>
      <c r="L374" s="69"/>
      <c r="M374" s="70"/>
      <c r="N374" s="71"/>
      <c r="O374" s="85"/>
    </row>
    <row r="375" spans="1:15" ht="30" customHeight="1">
      <c r="A375" s="76"/>
      <c r="B375" s="65"/>
      <c r="C375" s="65"/>
      <c r="D375" s="65"/>
      <c r="E375" s="71"/>
      <c r="F375" s="67"/>
      <c r="G375" s="67"/>
      <c r="H375" s="67"/>
      <c r="I375" s="67"/>
      <c r="J375" s="67"/>
      <c r="K375" s="68"/>
      <c r="L375" s="69"/>
      <c r="M375" s="70"/>
      <c r="N375" s="71"/>
      <c r="O375" s="85"/>
    </row>
    <row r="376" spans="1:15" ht="30" customHeight="1">
      <c r="A376" s="76"/>
      <c r="B376" s="65"/>
      <c r="C376" s="65"/>
      <c r="D376" s="65"/>
      <c r="E376" s="71"/>
      <c r="F376" s="67"/>
      <c r="G376" s="67"/>
      <c r="H376" s="67"/>
      <c r="I376" s="67"/>
      <c r="J376" s="67"/>
      <c r="K376" s="68"/>
      <c r="L376" s="69"/>
      <c r="M376" s="70"/>
      <c r="N376" s="71"/>
      <c r="O376" s="85"/>
    </row>
    <row r="377" spans="1:15" ht="30" customHeight="1">
      <c r="A377" s="76"/>
      <c r="B377" s="65"/>
      <c r="C377" s="65"/>
      <c r="D377" s="65"/>
      <c r="E377" s="71"/>
      <c r="F377" s="67"/>
      <c r="G377" s="67"/>
      <c r="H377" s="67"/>
      <c r="I377" s="67"/>
      <c r="J377" s="67"/>
      <c r="K377" s="68"/>
      <c r="L377" s="69"/>
      <c r="M377" s="70"/>
      <c r="N377" s="71"/>
      <c r="O377" s="85"/>
    </row>
    <row r="378" spans="1:15" ht="30" customHeight="1">
      <c r="A378" s="76"/>
      <c r="B378" s="65"/>
      <c r="C378" s="65"/>
      <c r="D378" s="65"/>
      <c r="E378" s="71"/>
      <c r="F378" s="67"/>
      <c r="G378" s="67"/>
      <c r="H378" s="67"/>
      <c r="I378" s="67"/>
      <c r="J378" s="67"/>
      <c r="K378" s="68"/>
      <c r="L378" s="69"/>
      <c r="M378" s="70"/>
      <c r="N378" s="71"/>
      <c r="O378" s="85"/>
    </row>
    <row r="379" spans="1:15" ht="30" customHeight="1">
      <c r="A379" s="76"/>
      <c r="B379" s="65"/>
      <c r="C379" s="65"/>
      <c r="D379" s="65"/>
      <c r="E379" s="71"/>
      <c r="F379" s="67"/>
      <c r="G379" s="67"/>
      <c r="H379" s="67"/>
      <c r="I379" s="67"/>
      <c r="J379" s="67"/>
      <c r="K379" s="68"/>
      <c r="L379" s="69"/>
      <c r="M379" s="70"/>
      <c r="N379" s="71"/>
      <c r="O379" s="85"/>
    </row>
    <row r="380" spans="1:15" ht="30" customHeight="1">
      <c r="A380" s="76"/>
      <c r="B380" s="65"/>
      <c r="C380" s="65"/>
      <c r="D380" s="65"/>
      <c r="E380" s="71"/>
      <c r="F380" s="67"/>
      <c r="G380" s="67"/>
      <c r="H380" s="67"/>
      <c r="I380" s="67"/>
      <c r="J380" s="67"/>
      <c r="K380" s="68"/>
      <c r="L380" s="69"/>
      <c r="M380" s="70"/>
      <c r="N380" s="71"/>
      <c r="O380" s="85"/>
    </row>
    <row r="381" spans="1:15" ht="30" customHeight="1">
      <c r="A381" s="76"/>
      <c r="B381" s="65"/>
      <c r="C381" s="65"/>
      <c r="D381" s="65"/>
      <c r="E381" s="71"/>
      <c r="F381" s="67"/>
      <c r="G381" s="67"/>
      <c r="H381" s="67"/>
      <c r="I381" s="67"/>
      <c r="J381" s="67"/>
      <c r="K381" s="68"/>
      <c r="L381" s="69"/>
      <c r="M381" s="70"/>
      <c r="N381" s="71"/>
      <c r="O381" s="85"/>
    </row>
    <row r="382" spans="1:15" ht="30" customHeight="1">
      <c r="A382" s="76"/>
      <c r="B382" s="65"/>
      <c r="C382" s="65"/>
      <c r="D382" s="65"/>
      <c r="E382" s="71"/>
      <c r="F382" s="67"/>
      <c r="G382" s="67"/>
      <c r="H382" s="67"/>
      <c r="I382" s="67"/>
      <c r="J382" s="67"/>
      <c r="K382" s="68"/>
      <c r="L382" s="69"/>
      <c r="M382" s="70"/>
      <c r="N382" s="71"/>
      <c r="O382" s="85"/>
    </row>
    <row r="383" spans="1:15" ht="30" customHeight="1">
      <c r="A383" s="76"/>
      <c r="B383" s="65"/>
      <c r="C383" s="65"/>
      <c r="D383" s="65"/>
      <c r="E383" s="71"/>
      <c r="F383" s="67"/>
      <c r="G383" s="67"/>
      <c r="H383" s="67"/>
      <c r="I383" s="67"/>
      <c r="J383" s="67"/>
      <c r="K383" s="68"/>
      <c r="L383" s="69"/>
      <c r="M383" s="70"/>
      <c r="N383" s="71"/>
      <c r="O383" s="85"/>
    </row>
    <row r="384" spans="1:15" ht="30" customHeight="1">
      <c r="A384" s="76"/>
      <c r="B384" s="65"/>
      <c r="C384" s="65"/>
      <c r="D384" s="65"/>
      <c r="E384" s="71"/>
      <c r="F384" s="67"/>
      <c r="G384" s="67"/>
      <c r="H384" s="67"/>
      <c r="I384" s="67"/>
      <c r="J384" s="67"/>
      <c r="K384" s="68"/>
      <c r="L384" s="69"/>
      <c r="M384" s="70"/>
      <c r="N384" s="71"/>
      <c r="O384" s="85"/>
    </row>
    <row r="385" spans="1:15" ht="30" customHeight="1">
      <c r="A385" s="76"/>
      <c r="B385" s="65"/>
      <c r="C385" s="65"/>
      <c r="D385" s="65"/>
      <c r="E385" s="71"/>
      <c r="F385" s="67"/>
      <c r="G385" s="67"/>
      <c r="H385" s="67"/>
      <c r="I385" s="67"/>
      <c r="J385" s="67"/>
      <c r="K385" s="68"/>
      <c r="L385" s="69"/>
      <c r="M385" s="70"/>
      <c r="N385" s="71"/>
      <c r="O385" s="85"/>
    </row>
    <row r="386" spans="1:15" ht="30" customHeight="1">
      <c r="A386" s="76"/>
      <c r="B386" s="65"/>
      <c r="C386" s="65"/>
      <c r="D386" s="65"/>
      <c r="E386" s="71"/>
      <c r="F386" s="67"/>
      <c r="G386" s="67"/>
      <c r="H386" s="67"/>
      <c r="I386" s="67"/>
      <c r="J386" s="67"/>
      <c r="K386" s="68"/>
      <c r="L386" s="69"/>
      <c r="M386" s="70"/>
      <c r="N386" s="71"/>
      <c r="O386" s="85"/>
    </row>
    <row r="387" spans="1:15" ht="30" customHeight="1">
      <c r="A387" s="76"/>
      <c r="B387" s="65"/>
      <c r="C387" s="65"/>
      <c r="D387" s="65"/>
      <c r="E387" s="71"/>
      <c r="F387" s="67"/>
      <c r="G387" s="67"/>
      <c r="H387" s="67"/>
      <c r="I387" s="67"/>
      <c r="J387" s="67"/>
      <c r="K387" s="68"/>
      <c r="L387" s="69"/>
      <c r="M387" s="70"/>
      <c r="N387" s="71"/>
      <c r="O387" s="85"/>
    </row>
    <row r="388" spans="1:15" ht="30" customHeight="1">
      <c r="A388" s="76"/>
      <c r="B388" s="65"/>
      <c r="C388" s="65"/>
      <c r="D388" s="65"/>
      <c r="E388" s="71"/>
      <c r="F388" s="67"/>
      <c r="G388" s="67"/>
      <c r="H388" s="67"/>
      <c r="I388" s="67"/>
      <c r="J388" s="67"/>
      <c r="K388" s="68"/>
      <c r="L388" s="69"/>
      <c r="M388" s="70"/>
      <c r="N388" s="71"/>
      <c r="O388" s="85"/>
    </row>
    <row r="389" spans="1:15" ht="30" customHeight="1">
      <c r="A389" s="76"/>
      <c r="B389" s="65"/>
      <c r="C389" s="65"/>
      <c r="D389" s="65"/>
      <c r="E389" s="71"/>
      <c r="F389" s="67"/>
      <c r="G389" s="67"/>
      <c r="H389" s="67"/>
      <c r="I389" s="67"/>
      <c r="J389" s="67"/>
      <c r="K389" s="68"/>
      <c r="L389" s="69"/>
      <c r="M389" s="70"/>
      <c r="N389" s="71"/>
      <c r="O389" s="85"/>
    </row>
    <row r="390" spans="1:15" ht="30" customHeight="1">
      <c r="A390" s="76"/>
      <c r="B390" s="65"/>
      <c r="C390" s="65"/>
      <c r="D390" s="65"/>
      <c r="E390" s="71"/>
      <c r="F390" s="67"/>
      <c r="G390" s="67"/>
      <c r="H390" s="67"/>
      <c r="I390" s="67"/>
      <c r="J390" s="67"/>
      <c r="K390" s="68"/>
      <c r="L390" s="69"/>
      <c r="M390" s="70"/>
      <c r="N390" s="71"/>
      <c r="O390" s="85"/>
    </row>
    <row r="391" spans="1:15" ht="30" customHeight="1">
      <c r="A391" s="76"/>
      <c r="B391" s="65"/>
      <c r="C391" s="65"/>
      <c r="D391" s="65"/>
      <c r="E391" s="71"/>
      <c r="F391" s="67"/>
      <c r="G391" s="67"/>
      <c r="H391" s="67"/>
      <c r="I391" s="67"/>
      <c r="J391" s="67"/>
      <c r="K391" s="68"/>
      <c r="L391" s="69"/>
      <c r="M391" s="70"/>
      <c r="N391" s="71"/>
      <c r="O391" s="85"/>
    </row>
    <row r="392" spans="1:15" ht="30" customHeight="1">
      <c r="A392" s="76"/>
      <c r="B392" s="65"/>
      <c r="C392" s="65"/>
      <c r="D392" s="65"/>
      <c r="E392" s="71"/>
      <c r="F392" s="67"/>
      <c r="G392" s="67"/>
      <c r="H392" s="67"/>
      <c r="I392" s="67"/>
      <c r="J392" s="67"/>
      <c r="K392" s="68"/>
      <c r="L392" s="69"/>
      <c r="M392" s="70"/>
      <c r="N392" s="71"/>
      <c r="O392" s="85"/>
    </row>
    <row r="393" spans="1:15" ht="30" customHeight="1">
      <c r="A393" s="76"/>
      <c r="B393" s="65"/>
      <c r="C393" s="65"/>
      <c r="D393" s="65"/>
      <c r="E393" s="71"/>
      <c r="F393" s="67"/>
      <c r="G393" s="67"/>
      <c r="H393" s="67"/>
      <c r="I393" s="67"/>
      <c r="J393" s="67"/>
      <c r="K393" s="68"/>
      <c r="L393" s="69"/>
      <c r="M393" s="70"/>
      <c r="N393" s="71"/>
      <c r="O393" s="85"/>
    </row>
    <row r="394" spans="1:15" ht="30" customHeight="1">
      <c r="A394" s="76"/>
      <c r="B394" s="65"/>
      <c r="C394" s="65"/>
      <c r="D394" s="65"/>
      <c r="E394" s="71"/>
      <c r="F394" s="67"/>
      <c r="G394" s="67"/>
      <c r="H394" s="67"/>
      <c r="I394" s="67"/>
      <c r="J394" s="67"/>
      <c r="K394" s="68"/>
      <c r="L394" s="69"/>
      <c r="M394" s="70"/>
      <c r="N394" s="71"/>
      <c r="O394" s="85"/>
    </row>
    <row r="395" spans="1:15" ht="30" customHeight="1">
      <c r="A395" s="76"/>
      <c r="B395" s="65"/>
      <c r="C395" s="65"/>
      <c r="D395" s="65"/>
      <c r="E395" s="71"/>
      <c r="F395" s="67"/>
      <c r="G395" s="67"/>
      <c r="H395" s="67"/>
      <c r="I395" s="67"/>
      <c r="J395" s="67"/>
      <c r="K395" s="68"/>
      <c r="L395" s="69"/>
      <c r="M395" s="70"/>
      <c r="N395" s="71"/>
      <c r="O395" s="85"/>
    </row>
    <row r="396" spans="1:15" ht="30" customHeight="1">
      <c r="A396" s="76"/>
      <c r="B396" s="65"/>
      <c r="C396" s="65"/>
      <c r="D396" s="65"/>
      <c r="E396" s="71"/>
      <c r="F396" s="67"/>
      <c r="G396" s="67"/>
      <c r="H396" s="67"/>
      <c r="I396" s="67"/>
      <c r="J396" s="67"/>
      <c r="K396" s="68"/>
      <c r="L396" s="69"/>
      <c r="M396" s="70"/>
      <c r="N396" s="71"/>
      <c r="O396" s="85"/>
    </row>
    <row r="397" spans="1:15" ht="30" customHeight="1">
      <c r="A397" s="76"/>
      <c r="B397" s="65"/>
      <c r="C397" s="65"/>
      <c r="D397" s="65"/>
      <c r="E397" s="71"/>
      <c r="F397" s="67"/>
      <c r="G397" s="67"/>
      <c r="H397" s="67"/>
      <c r="I397" s="67"/>
      <c r="J397" s="67"/>
      <c r="K397" s="68"/>
      <c r="L397" s="69"/>
      <c r="M397" s="70"/>
      <c r="N397" s="71"/>
      <c r="O397" s="85"/>
    </row>
    <row r="398" spans="1:15" ht="30" customHeight="1">
      <c r="A398" s="76"/>
      <c r="B398" s="65"/>
      <c r="C398" s="65"/>
      <c r="D398" s="65"/>
      <c r="E398" s="71"/>
      <c r="F398" s="67"/>
      <c r="G398" s="67"/>
      <c r="H398" s="67"/>
      <c r="I398" s="67"/>
      <c r="J398" s="67"/>
      <c r="K398" s="68"/>
      <c r="L398" s="69"/>
      <c r="M398" s="70"/>
      <c r="N398" s="71"/>
      <c r="O398" s="85"/>
    </row>
    <row r="399" spans="1:15" ht="30" customHeight="1">
      <c r="A399" s="76"/>
      <c r="B399" s="65"/>
      <c r="C399" s="65"/>
      <c r="D399" s="65"/>
      <c r="E399" s="71"/>
      <c r="F399" s="67"/>
      <c r="G399" s="67"/>
      <c r="H399" s="67"/>
      <c r="I399" s="67"/>
      <c r="J399" s="67"/>
      <c r="K399" s="68"/>
      <c r="L399" s="69"/>
      <c r="M399" s="70"/>
      <c r="N399" s="71"/>
      <c r="O399" s="85"/>
    </row>
    <row r="400" spans="1:15" ht="30" customHeight="1">
      <c r="A400" s="76"/>
      <c r="B400" s="65"/>
      <c r="C400" s="65"/>
      <c r="D400" s="65"/>
      <c r="E400" s="71"/>
      <c r="F400" s="67"/>
      <c r="G400" s="67"/>
      <c r="H400" s="67"/>
      <c r="I400" s="67"/>
      <c r="J400" s="67"/>
      <c r="K400" s="68"/>
      <c r="L400" s="69"/>
      <c r="M400" s="70"/>
      <c r="N400" s="71"/>
      <c r="O400" s="85"/>
    </row>
    <row r="401" spans="1:15" ht="30" customHeight="1">
      <c r="A401" s="76"/>
      <c r="B401" s="65"/>
      <c r="C401" s="65"/>
      <c r="D401" s="65"/>
      <c r="E401" s="71"/>
      <c r="F401" s="67"/>
      <c r="G401" s="67"/>
      <c r="H401" s="67"/>
      <c r="I401" s="67"/>
      <c r="J401" s="67"/>
      <c r="K401" s="68"/>
      <c r="L401" s="69"/>
      <c r="M401" s="70"/>
      <c r="N401" s="71"/>
      <c r="O401" s="85"/>
    </row>
    <row r="402" spans="1:15" ht="30" customHeight="1">
      <c r="A402" s="76"/>
      <c r="B402" s="65"/>
      <c r="C402" s="65"/>
      <c r="D402" s="65"/>
      <c r="E402" s="71"/>
      <c r="F402" s="67"/>
      <c r="G402" s="67"/>
      <c r="H402" s="67"/>
      <c r="I402" s="67"/>
      <c r="J402" s="67"/>
      <c r="K402" s="68"/>
      <c r="L402" s="69"/>
      <c r="M402" s="70"/>
      <c r="N402" s="71"/>
      <c r="O402" s="85"/>
    </row>
    <row r="403" spans="1:15" ht="30" customHeight="1">
      <c r="A403" s="76"/>
      <c r="B403" s="65"/>
      <c r="C403" s="65"/>
      <c r="D403" s="65"/>
      <c r="E403" s="71"/>
      <c r="F403" s="67"/>
      <c r="G403" s="67"/>
      <c r="H403" s="67"/>
      <c r="I403" s="67"/>
      <c r="J403" s="67"/>
      <c r="K403" s="68"/>
      <c r="L403" s="69"/>
      <c r="M403" s="70"/>
      <c r="N403" s="71"/>
      <c r="O403" s="85"/>
    </row>
    <row r="404" spans="1:15" ht="30" customHeight="1">
      <c r="A404" s="76"/>
      <c r="B404" s="65"/>
      <c r="C404" s="65"/>
      <c r="D404" s="65"/>
      <c r="E404" s="71"/>
      <c r="F404" s="67"/>
      <c r="G404" s="67"/>
      <c r="H404" s="67"/>
      <c r="I404" s="67"/>
      <c r="J404" s="67"/>
      <c r="K404" s="68"/>
      <c r="L404" s="69"/>
      <c r="M404" s="70"/>
      <c r="N404" s="71"/>
      <c r="O404" s="85"/>
    </row>
    <row r="405" spans="1:15" ht="30" customHeight="1">
      <c r="A405" s="76"/>
      <c r="B405" s="65"/>
      <c r="C405" s="65"/>
      <c r="D405" s="65"/>
      <c r="E405" s="71"/>
      <c r="F405" s="67"/>
      <c r="G405" s="67"/>
      <c r="H405" s="67"/>
      <c r="I405" s="67"/>
      <c r="J405" s="67"/>
      <c r="K405" s="68"/>
      <c r="L405" s="69"/>
      <c r="M405" s="70"/>
      <c r="N405" s="71"/>
      <c r="O405" s="85"/>
    </row>
    <row r="406" spans="1:15" ht="30" customHeight="1">
      <c r="A406" s="76"/>
      <c r="B406" s="65"/>
      <c r="C406" s="65"/>
      <c r="D406" s="65"/>
      <c r="E406" s="71"/>
      <c r="F406" s="67"/>
      <c r="G406" s="67"/>
      <c r="H406" s="67"/>
      <c r="I406" s="67"/>
      <c r="J406" s="67"/>
      <c r="K406" s="68"/>
      <c r="L406" s="69"/>
      <c r="M406" s="70"/>
      <c r="N406" s="71"/>
      <c r="O406" s="85"/>
    </row>
    <row r="407" spans="1:15" ht="30" customHeight="1">
      <c r="A407" s="76"/>
      <c r="B407" s="65"/>
      <c r="C407" s="65"/>
      <c r="D407" s="65"/>
      <c r="E407" s="71"/>
      <c r="F407" s="67"/>
      <c r="G407" s="67"/>
      <c r="H407" s="67"/>
      <c r="I407" s="67"/>
      <c r="J407" s="67"/>
      <c r="K407" s="68"/>
      <c r="L407" s="69"/>
      <c r="M407" s="70"/>
      <c r="N407" s="71"/>
      <c r="O407" s="85"/>
    </row>
    <row r="408" spans="1:15" ht="30" customHeight="1">
      <c r="A408" s="76"/>
      <c r="B408" s="65"/>
      <c r="C408" s="65"/>
      <c r="D408" s="65"/>
      <c r="E408" s="71"/>
      <c r="F408" s="67"/>
      <c r="G408" s="67"/>
      <c r="H408" s="67"/>
      <c r="I408" s="67"/>
      <c r="J408" s="67"/>
      <c r="K408" s="68"/>
      <c r="L408" s="69"/>
      <c r="M408" s="70"/>
      <c r="N408" s="71"/>
      <c r="O408" s="85"/>
    </row>
    <row r="409" spans="1:15" ht="30" customHeight="1">
      <c r="A409" s="76"/>
      <c r="B409" s="65"/>
      <c r="C409" s="65"/>
      <c r="D409" s="65"/>
      <c r="E409" s="71"/>
      <c r="F409" s="67"/>
      <c r="G409" s="67"/>
      <c r="H409" s="67"/>
      <c r="I409" s="67"/>
      <c r="J409" s="67"/>
      <c r="K409" s="68"/>
      <c r="L409" s="69"/>
      <c r="M409" s="70"/>
      <c r="N409" s="71"/>
      <c r="O409" s="85"/>
    </row>
    <row r="410" spans="1:15" ht="30" customHeight="1">
      <c r="A410" s="76"/>
      <c r="B410" s="65"/>
      <c r="C410" s="65"/>
      <c r="D410" s="65"/>
      <c r="E410" s="71"/>
      <c r="F410" s="67"/>
      <c r="G410" s="67"/>
      <c r="H410" s="67"/>
      <c r="I410" s="67"/>
      <c r="J410" s="67"/>
      <c r="K410" s="68"/>
      <c r="L410" s="69"/>
      <c r="M410" s="70"/>
      <c r="N410" s="71"/>
      <c r="O410" s="85"/>
    </row>
    <row r="411" spans="1:15" ht="30" customHeight="1">
      <c r="A411" s="76"/>
      <c r="B411" s="65"/>
      <c r="C411" s="65"/>
      <c r="D411" s="65"/>
      <c r="E411" s="71"/>
      <c r="F411" s="67"/>
      <c r="G411" s="67"/>
      <c r="H411" s="67"/>
      <c r="I411" s="67"/>
      <c r="J411" s="67"/>
      <c r="K411" s="68"/>
      <c r="L411" s="69"/>
      <c r="M411" s="70"/>
      <c r="N411" s="71"/>
      <c r="O411" s="85"/>
    </row>
    <row r="412" spans="1:15" ht="30" customHeight="1">
      <c r="A412" s="76"/>
      <c r="B412" s="65"/>
      <c r="C412" s="65"/>
      <c r="D412" s="65"/>
      <c r="E412" s="71"/>
      <c r="F412" s="67"/>
      <c r="G412" s="67"/>
      <c r="H412" s="67"/>
      <c r="I412" s="67"/>
      <c r="J412" s="67"/>
      <c r="K412" s="68"/>
      <c r="L412" s="69"/>
      <c r="M412" s="70"/>
      <c r="N412" s="71"/>
      <c r="O412" s="85"/>
    </row>
    <row r="413" spans="1:15" ht="30" customHeight="1">
      <c r="A413" s="76"/>
      <c r="B413" s="65"/>
      <c r="C413" s="65"/>
      <c r="D413" s="65"/>
      <c r="E413" s="71"/>
      <c r="F413" s="67"/>
      <c r="G413" s="67"/>
      <c r="H413" s="67"/>
      <c r="I413" s="67"/>
      <c r="J413" s="67"/>
      <c r="K413" s="68"/>
      <c r="L413" s="69"/>
      <c r="M413" s="70"/>
      <c r="N413" s="71"/>
      <c r="O413" s="85"/>
    </row>
    <row r="414" spans="1:15" ht="30" customHeight="1">
      <c r="A414" s="76"/>
      <c r="B414" s="65"/>
      <c r="C414" s="65"/>
      <c r="D414" s="65"/>
      <c r="E414" s="71"/>
      <c r="F414" s="67"/>
      <c r="G414" s="67"/>
      <c r="H414" s="67"/>
      <c r="I414" s="67"/>
      <c r="J414" s="67"/>
      <c r="K414" s="68"/>
      <c r="L414" s="69"/>
      <c r="M414" s="70"/>
      <c r="N414" s="71"/>
      <c r="O414" s="85"/>
    </row>
    <row r="415" spans="1:15" ht="30" customHeight="1">
      <c r="A415" s="76"/>
      <c r="B415" s="65"/>
      <c r="C415" s="65"/>
      <c r="D415" s="65"/>
      <c r="E415" s="71"/>
      <c r="F415" s="67"/>
      <c r="G415" s="67"/>
      <c r="H415" s="67"/>
      <c r="I415" s="67"/>
      <c r="J415" s="67"/>
      <c r="K415" s="68"/>
      <c r="L415" s="69"/>
      <c r="M415" s="70"/>
      <c r="N415" s="71"/>
      <c r="O415" s="85"/>
    </row>
    <row r="416" spans="1:15" ht="30" customHeight="1">
      <c r="A416" s="76"/>
      <c r="B416" s="65"/>
      <c r="C416" s="65"/>
      <c r="D416" s="65"/>
      <c r="E416" s="71"/>
      <c r="F416" s="67"/>
      <c r="G416" s="67"/>
      <c r="H416" s="67"/>
      <c r="I416" s="67"/>
      <c r="J416" s="67"/>
      <c r="K416" s="68"/>
      <c r="L416" s="69"/>
      <c r="M416" s="70"/>
      <c r="N416" s="71"/>
      <c r="O416" s="85"/>
    </row>
    <row r="417" spans="1:15" ht="30" customHeight="1">
      <c r="A417" s="76"/>
      <c r="B417" s="65"/>
      <c r="C417" s="65"/>
      <c r="D417" s="65"/>
      <c r="E417" s="71"/>
      <c r="F417" s="67"/>
      <c r="G417" s="67"/>
      <c r="H417" s="67"/>
      <c r="I417" s="67"/>
      <c r="J417" s="67"/>
      <c r="K417" s="68"/>
      <c r="L417" s="69"/>
      <c r="M417" s="70"/>
      <c r="N417" s="71"/>
      <c r="O417" s="85"/>
    </row>
    <row r="418" spans="1:15" ht="30" customHeight="1">
      <c r="A418" s="76"/>
      <c r="B418" s="65"/>
      <c r="C418" s="65"/>
      <c r="D418" s="65"/>
      <c r="E418" s="71"/>
      <c r="F418" s="67"/>
      <c r="G418" s="67"/>
      <c r="H418" s="67"/>
      <c r="I418" s="67"/>
      <c r="J418" s="67"/>
      <c r="K418" s="68"/>
      <c r="L418" s="69"/>
      <c r="M418" s="70"/>
      <c r="N418" s="71"/>
      <c r="O418" s="85"/>
    </row>
    <row r="419" spans="1:15" ht="30" customHeight="1">
      <c r="A419" s="76"/>
      <c r="B419" s="65"/>
      <c r="C419" s="65"/>
      <c r="D419" s="65"/>
      <c r="E419" s="71"/>
      <c r="F419" s="67"/>
      <c r="G419" s="67"/>
      <c r="H419" s="67"/>
      <c r="I419" s="67"/>
      <c r="J419" s="67"/>
      <c r="K419" s="68"/>
      <c r="L419" s="69"/>
      <c r="M419" s="70"/>
      <c r="N419" s="71"/>
      <c r="O419" s="85"/>
    </row>
    <row r="420" spans="1:15" ht="30" customHeight="1">
      <c r="A420" s="76"/>
      <c r="B420" s="65"/>
      <c r="C420" s="65"/>
      <c r="D420" s="65"/>
      <c r="E420" s="71"/>
      <c r="F420" s="67"/>
      <c r="G420" s="67"/>
      <c r="H420" s="67"/>
      <c r="I420" s="67"/>
      <c r="J420" s="67"/>
      <c r="K420" s="68"/>
      <c r="L420" s="69"/>
      <c r="M420" s="70"/>
      <c r="N420" s="71"/>
      <c r="O420" s="85"/>
    </row>
    <row r="421" spans="1:15" ht="30" customHeight="1">
      <c r="A421" s="76"/>
      <c r="B421" s="65"/>
      <c r="C421" s="65"/>
      <c r="D421" s="65"/>
      <c r="E421" s="71"/>
      <c r="F421" s="67"/>
      <c r="G421" s="67"/>
      <c r="H421" s="67"/>
      <c r="I421" s="67"/>
      <c r="J421" s="67"/>
      <c r="K421" s="68"/>
      <c r="L421" s="69"/>
      <c r="M421" s="70"/>
      <c r="N421" s="71"/>
      <c r="O421" s="85"/>
    </row>
    <row r="422" spans="1:15" ht="30" customHeight="1">
      <c r="A422" s="76"/>
      <c r="B422" s="65"/>
      <c r="C422" s="65"/>
      <c r="D422" s="65"/>
      <c r="E422" s="71"/>
      <c r="F422" s="67"/>
      <c r="G422" s="67"/>
      <c r="H422" s="67"/>
      <c r="I422" s="67"/>
      <c r="J422" s="67"/>
      <c r="K422" s="68"/>
      <c r="L422" s="69"/>
      <c r="M422" s="70"/>
      <c r="N422" s="71"/>
      <c r="O422" s="85"/>
    </row>
    <row r="423" spans="1:15" ht="30" customHeight="1">
      <c r="A423" s="76"/>
      <c r="B423" s="65"/>
      <c r="C423" s="65"/>
      <c r="D423" s="65"/>
      <c r="E423" s="71"/>
      <c r="F423" s="67"/>
      <c r="G423" s="67"/>
      <c r="H423" s="67"/>
      <c r="I423" s="67"/>
      <c r="J423" s="67"/>
      <c r="K423" s="68"/>
      <c r="L423" s="69"/>
      <c r="M423" s="70"/>
      <c r="N423" s="71"/>
      <c r="O423" s="85"/>
    </row>
    <row r="424" spans="1:15" ht="30" customHeight="1">
      <c r="A424" s="76"/>
      <c r="B424" s="65"/>
      <c r="C424" s="65"/>
      <c r="D424" s="65"/>
      <c r="E424" s="71"/>
      <c r="F424" s="67"/>
      <c r="G424" s="67"/>
      <c r="H424" s="67"/>
      <c r="I424" s="67"/>
      <c r="J424" s="67"/>
      <c r="K424" s="68"/>
      <c r="L424" s="69"/>
      <c r="M424" s="70"/>
      <c r="N424" s="71"/>
      <c r="O424" s="85"/>
    </row>
    <row r="425" spans="1:15" ht="30" customHeight="1">
      <c r="A425" s="76"/>
      <c r="B425" s="65"/>
      <c r="C425" s="65"/>
      <c r="D425" s="65"/>
      <c r="E425" s="71"/>
      <c r="F425" s="67"/>
      <c r="G425" s="67"/>
      <c r="H425" s="67"/>
      <c r="I425" s="67"/>
      <c r="J425" s="67"/>
      <c r="K425" s="68"/>
      <c r="L425" s="69"/>
      <c r="M425" s="70"/>
      <c r="N425" s="71"/>
      <c r="O425" s="85"/>
    </row>
    <row r="426" spans="1:15" ht="30" customHeight="1">
      <c r="A426" s="76"/>
      <c r="B426" s="65"/>
      <c r="C426" s="65"/>
      <c r="D426" s="65"/>
      <c r="E426" s="71"/>
      <c r="F426" s="67"/>
      <c r="G426" s="67"/>
      <c r="H426" s="67"/>
      <c r="I426" s="67"/>
      <c r="J426" s="67"/>
      <c r="K426" s="68"/>
      <c r="L426" s="69"/>
      <c r="M426" s="70"/>
      <c r="N426" s="71"/>
      <c r="O426" s="85"/>
    </row>
    <row r="427" spans="1:15" ht="30" customHeight="1">
      <c r="A427" s="76"/>
      <c r="B427" s="65"/>
      <c r="C427" s="65"/>
      <c r="D427" s="65"/>
      <c r="E427" s="71"/>
      <c r="F427" s="67"/>
      <c r="G427" s="67"/>
      <c r="H427" s="67"/>
      <c r="I427" s="67"/>
      <c r="J427" s="67"/>
      <c r="K427" s="68"/>
      <c r="L427" s="69"/>
      <c r="M427" s="70"/>
      <c r="N427" s="71"/>
      <c r="O427" s="85"/>
    </row>
    <row r="428" spans="1:15" ht="30" customHeight="1">
      <c r="A428" s="76"/>
      <c r="B428" s="65"/>
      <c r="C428" s="65"/>
      <c r="D428" s="65"/>
      <c r="E428" s="71"/>
      <c r="F428" s="67"/>
      <c r="G428" s="67"/>
      <c r="H428" s="67"/>
      <c r="I428" s="67"/>
      <c r="J428" s="67"/>
      <c r="K428" s="68"/>
      <c r="L428" s="69"/>
      <c r="M428" s="70"/>
      <c r="N428" s="71"/>
      <c r="O428" s="85"/>
    </row>
    <row r="429" spans="1:15" ht="30" customHeight="1">
      <c r="A429" s="76"/>
      <c r="B429" s="65"/>
      <c r="C429" s="65"/>
      <c r="D429" s="65"/>
      <c r="E429" s="71"/>
      <c r="F429" s="67"/>
      <c r="G429" s="67"/>
      <c r="H429" s="67"/>
      <c r="I429" s="67"/>
      <c r="J429" s="67"/>
      <c r="K429" s="68"/>
      <c r="L429" s="69"/>
      <c r="M429" s="70"/>
      <c r="N429" s="71"/>
      <c r="O429" s="85"/>
    </row>
    <row r="430" spans="1:15" ht="30" customHeight="1">
      <c r="A430" s="76"/>
      <c r="B430" s="65"/>
      <c r="C430" s="65"/>
      <c r="D430" s="65"/>
      <c r="E430" s="71"/>
      <c r="F430" s="67"/>
      <c r="G430" s="67"/>
      <c r="H430" s="67"/>
      <c r="I430" s="67"/>
      <c r="J430" s="67"/>
      <c r="K430" s="68"/>
      <c r="L430" s="69"/>
      <c r="M430" s="70"/>
      <c r="N430" s="71"/>
      <c r="O430" s="85"/>
    </row>
    <row r="431" spans="1:15" ht="30" customHeight="1">
      <c r="A431" s="76"/>
      <c r="B431" s="65"/>
      <c r="C431" s="65"/>
      <c r="D431" s="65"/>
      <c r="E431" s="71"/>
      <c r="F431" s="67"/>
      <c r="G431" s="67"/>
      <c r="H431" s="67"/>
      <c r="I431" s="67"/>
      <c r="J431" s="67"/>
      <c r="K431" s="68"/>
      <c r="L431" s="69"/>
      <c r="M431" s="70"/>
      <c r="N431" s="71"/>
      <c r="O431" s="85"/>
    </row>
    <row r="432" spans="1:15" ht="30" customHeight="1">
      <c r="A432" s="76"/>
      <c r="B432" s="65"/>
      <c r="C432" s="65"/>
      <c r="D432" s="65"/>
      <c r="E432" s="71"/>
      <c r="F432" s="67"/>
      <c r="G432" s="67"/>
      <c r="H432" s="67"/>
      <c r="I432" s="67"/>
      <c r="J432" s="67"/>
      <c r="K432" s="68"/>
      <c r="L432" s="69"/>
      <c r="M432" s="70"/>
      <c r="N432" s="71"/>
      <c r="O432" s="85"/>
    </row>
    <row r="433" spans="1:15" ht="30" customHeight="1">
      <c r="A433" s="76"/>
      <c r="B433" s="65"/>
      <c r="C433" s="65"/>
      <c r="D433" s="65"/>
      <c r="E433" s="71"/>
      <c r="F433" s="67"/>
      <c r="G433" s="67"/>
      <c r="H433" s="67"/>
      <c r="I433" s="67"/>
      <c r="J433" s="67"/>
      <c r="K433" s="68"/>
      <c r="L433" s="69"/>
      <c r="M433" s="70"/>
      <c r="N433" s="71"/>
      <c r="O433" s="85"/>
    </row>
    <row r="434" spans="1:15" ht="30" customHeight="1">
      <c r="A434" s="76"/>
      <c r="B434" s="65"/>
      <c r="C434" s="65"/>
      <c r="D434" s="65"/>
      <c r="E434" s="71"/>
      <c r="F434" s="67"/>
      <c r="G434" s="67"/>
      <c r="H434" s="67"/>
      <c r="I434" s="67"/>
      <c r="J434" s="67"/>
      <c r="K434" s="68"/>
      <c r="L434" s="69"/>
      <c r="M434" s="70"/>
      <c r="N434" s="71"/>
      <c r="O434" s="85"/>
    </row>
    <row r="435" spans="1:15" ht="30" customHeight="1">
      <c r="A435" s="76"/>
      <c r="B435" s="65"/>
      <c r="C435" s="65"/>
      <c r="D435" s="65"/>
      <c r="E435" s="71"/>
      <c r="F435" s="67"/>
      <c r="G435" s="67"/>
      <c r="H435" s="67"/>
      <c r="I435" s="67"/>
      <c r="J435" s="67"/>
      <c r="K435" s="68"/>
      <c r="L435" s="69"/>
      <c r="M435" s="70"/>
      <c r="N435" s="71"/>
      <c r="O435" s="85"/>
    </row>
    <row r="436" spans="1:15" ht="30" customHeight="1">
      <c r="A436" s="76"/>
      <c r="B436" s="65"/>
      <c r="C436" s="65"/>
      <c r="D436" s="65"/>
      <c r="E436" s="71"/>
      <c r="F436" s="67"/>
      <c r="G436" s="67"/>
      <c r="H436" s="67"/>
      <c r="I436" s="67"/>
      <c r="J436" s="67"/>
      <c r="K436" s="68"/>
      <c r="L436" s="69"/>
      <c r="M436" s="70"/>
      <c r="N436" s="71"/>
      <c r="O436" s="85"/>
    </row>
    <row r="437" spans="1:15" ht="30" customHeight="1">
      <c r="A437" s="76"/>
      <c r="B437" s="65"/>
      <c r="C437" s="65"/>
      <c r="D437" s="65"/>
      <c r="E437" s="71"/>
      <c r="F437" s="67"/>
      <c r="G437" s="67"/>
      <c r="H437" s="67"/>
      <c r="I437" s="67"/>
      <c r="J437" s="67"/>
      <c r="K437" s="68"/>
      <c r="L437" s="69"/>
      <c r="M437" s="70"/>
      <c r="N437" s="71"/>
      <c r="O437" s="85"/>
    </row>
    <row r="438" spans="1:15" ht="30" customHeight="1">
      <c r="A438" s="76"/>
      <c r="B438" s="65"/>
      <c r="C438" s="65"/>
      <c r="D438" s="65"/>
      <c r="E438" s="71"/>
      <c r="F438" s="67"/>
      <c r="G438" s="67"/>
      <c r="H438" s="67"/>
      <c r="I438" s="67"/>
      <c r="J438" s="67"/>
      <c r="K438" s="68"/>
      <c r="L438" s="69"/>
      <c r="M438" s="70"/>
      <c r="N438" s="71"/>
      <c r="O438" s="85"/>
    </row>
    <row r="439" spans="1:15" ht="30" customHeight="1">
      <c r="A439" s="76"/>
      <c r="B439" s="65"/>
      <c r="C439" s="65"/>
      <c r="D439" s="65"/>
      <c r="E439" s="71"/>
      <c r="F439" s="67"/>
      <c r="G439" s="67"/>
      <c r="H439" s="67"/>
      <c r="I439" s="67"/>
      <c r="J439" s="67"/>
      <c r="K439" s="68"/>
      <c r="L439" s="69"/>
      <c r="M439" s="70"/>
      <c r="N439" s="71"/>
      <c r="O439" s="85"/>
    </row>
    <row r="440" spans="1:15" ht="30" customHeight="1">
      <c r="A440" s="76"/>
      <c r="B440" s="65"/>
      <c r="C440" s="65"/>
      <c r="D440" s="65"/>
      <c r="E440" s="71"/>
      <c r="F440" s="67"/>
      <c r="G440" s="67"/>
      <c r="H440" s="67"/>
      <c r="I440" s="67"/>
      <c r="J440" s="67"/>
      <c r="K440" s="68"/>
      <c r="L440" s="69"/>
      <c r="M440" s="70"/>
      <c r="N440" s="71"/>
      <c r="O440" s="85"/>
    </row>
    <row r="441" spans="1:15" ht="30" customHeight="1">
      <c r="A441" s="76"/>
      <c r="B441" s="65"/>
      <c r="C441" s="65"/>
      <c r="D441" s="65"/>
      <c r="E441" s="71"/>
      <c r="F441" s="67"/>
      <c r="G441" s="67"/>
      <c r="H441" s="67"/>
      <c r="I441" s="67"/>
      <c r="J441" s="67"/>
      <c r="K441" s="68"/>
      <c r="L441" s="69"/>
      <c r="M441" s="70"/>
      <c r="N441" s="71"/>
      <c r="O441" s="85"/>
    </row>
    <row r="442" spans="1:15" ht="30" customHeight="1">
      <c r="A442" s="76"/>
      <c r="B442" s="65"/>
      <c r="C442" s="65"/>
      <c r="D442" s="65"/>
      <c r="E442" s="71"/>
      <c r="F442" s="67"/>
      <c r="G442" s="67"/>
      <c r="H442" s="67"/>
      <c r="I442" s="67"/>
      <c r="J442" s="67"/>
      <c r="K442" s="68"/>
      <c r="L442" s="69"/>
      <c r="M442" s="70"/>
      <c r="N442" s="71"/>
      <c r="O442" s="85"/>
    </row>
    <row r="443" spans="1:15" ht="30" customHeight="1">
      <c r="A443" s="76"/>
      <c r="B443" s="65"/>
      <c r="C443" s="65"/>
      <c r="D443" s="65"/>
      <c r="E443" s="71"/>
      <c r="F443" s="67"/>
      <c r="G443" s="67"/>
      <c r="H443" s="67"/>
      <c r="I443" s="67"/>
      <c r="J443" s="67"/>
      <c r="K443" s="68"/>
      <c r="L443" s="69"/>
      <c r="M443" s="70"/>
      <c r="N443" s="71"/>
      <c r="O443" s="85"/>
    </row>
    <row r="444" spans="1:15" ht="30" customHeight="1">
      <c r="A444" s="76"/>
      <c r="B444" s="65"/>
      <c r="C444" s="65"/>
      <c r="D444" s="65"/>
      <c r="E444" s="71"/>
      <c r="F444" s="67"/>
      <c r="G444" s="67"/>
      <c r="H444" s="67"/>
      <c r="I444" s="67"/>
      <c r="J444" s="67"/>
      <c r="K444" s="68"/>
      <c r="L444" s="69"/>
      <c r="M444" s="70"/>
      <c r="N444" s="71"/>
      <c r="O444" s="85"/>
    </row>
    <row r="445" spans="1:15" ht="30" customHeight="1">
      <c r="A445" s="76"/>
      <c r="B445" s="65"/>
      <c r="C445" s="65"/>
      <c r="D445" s="65"/>
      <c r="E445" s="71"/>
      <c r="F445" s="67"/>
      <c r="G445" s="67"/>
      <c r="H445" s="67"/>
      <c r="I445" s="67"/>
      <c r="J445" s="67"/>
      <c r="K445" s="68"/>
      <c r="L445" s="69"/>
      <c r="M445" s="70"/>
      <c r="N445" s="71"/>
      <c r="O445" s="85"/>
    </row>
    <row r="446" spans="1:15" ht="30" customHeight="1">
      <c r="A446" s="76"/>
      <c r="B446" s="65"/>
      <c r="C446" s="65"/>
      <c r="D446" s="65"/>
      <c r="E446" s="71"/>
      <c r="F446" s="67"/>
      <c r="G446" s="67"/>
      <c r="H446" s="67"/>
      <c r="I446" s="67"/>
      <c r="J446" s="67"/>
      <c r="K446" s="68"/>
      <c r="L446" s="69"/>
      <c r="M446" s="70"/>
      <c r="N446" s="71"/>
      <c r="O446" s="85"/>
    </row>
    <row r="447" spans="1:15" ht="30" customHeight="1">
      <c r="A447" s="76"/>
      <c r="B447" s="65"/>
      <c r="C447" s="65"/>
      <c r="D447" s="65"/>
      <c r="E447" s="71"/>
      <c r="F447" s="67"/>
      <c r="G447" s="67"/>
      <c r="H447" s="67"/>
      <c r="I447" s="67"/>
      <c r="J447" s="67"/>
      <c r="K447" s="68"/>
      <c r="L447" s="69"/>
      <c r="M447" s="70"/>
      <c r="N447" s="71"/>
      <c r="O447" s="85"/>
    </row>
    <row r="448" spans="1:15" ht="30" customHeight="1">
      <c r="A448" s="76"/>
      <c r="B448" s="65"/>
      <c r="C448" s="65"/>
      <c r="D448" s="65"/>
      <c r="E448" s="71"/>
      <c r="F448" s="67"/>
      <c r="G448" s="67"/>
      <c r="H448" s="67"/>
      <c r="I448" s="67"/>
      <c r="J448" s="67"/>
      <c r="K448" s="68"/>
      <c r="L448" s="69"/>
      <c r="M448" s="70"/>
      <c r="N448" s="71"/>
      <c r="O448" s="85"/>
    </row>
    <row r="449" spans="1:15" ht="30" customHeight="1">
      <c r="A449" s="76"/>
      <c r="B449" s="65"/>
      <c r="C449" s="65"/>
      <c r="D449" s="65"/>
      <c r="E449" s="71"/>
      <c r="F449" s="67"/>
      <c r="G449" s="67"/>
      <c r="H449" s="67"/>
      <c r="I449" s="67"/>
      <c r="J449" s="67"/>
      <c r="K449" s="68"/>
      <c r="L449" s="69"/>
      <c r="M449" s="70"/>
      <c r="N449" s="71"/>
      <c r="O449" s="85"/>
    </row>
    <row r="450" spans="1:15" ht="30" customHeight="1">
      <c r="A450" s="76"/>
      <c r="B450" s="65"/>
      <c r="C450" s="65"/>
      <c r="D450" s="65"/>
      <c r="E450" s="71"/>
      <c r="F450" s="67"/>
      <c r="G450" s="67"/>
      <c r="H450" s="67"/>
      <c r="I450" s="67"/>
      <c r="J450" s="67"/>
      <c r="K450" s="68"/>
      <c r="L450" s="69"/>
      <c r="M450" s="70"/>
      <c r="N450" s="71"/>
      <c r="O450" s="85"/>
    </row>
    <row r="451" spans="1:15" ht="30" customHeight="1">
      <c r="A451" s="76"/>
      <c r="B451" s="65"/>
      <c r="C451" s="65"/>
      <c r="D451" s="65"/>
      <c r="E451" s="71"/>
      <c r="F451" s="67"/>
      <c r="G451" s="67"/>
      <c r="H451" s="67"/>
      <c r="I451" s="67"/>
      <c r="J451" s="67"/>
      <c r="K451" s="68"/>
      <c r="L451" s="69"/>
      <c r="M451" s="70"/>
      <c r="N451" s="71"/>
      <c r="O451" s="85"/>
    </row>
    <row r="452" spans="1:15" ht="30" customHeight="1">
      <c r="A452" s="76"/>
      <c r="B452" s="65"/>
      <c r="C452" s="65"/>
      <c r="D452" s="65"/>
      <c r="E452" s="71"/>
      <c r="F452" s="67"/>
      <c r="G452" s="67"/>
      <c r="H452" s="67"/>
      <c r="I452" s="67"/>
      <c r="J452" s="67"/>
      <c r="K452" s="68"/>
      <c r="L452" s="69"/>
      <c r="M452" s="70"/>
      <c r="N452" s="71"/>
      <c r="O452" s="85"/>
    </row>
    <row r="453" spans="1:15" ht="30" customHeight="1">
      <c r="A453" s="76"/>
      <c r="B453" s="65"/>
      <c r="C453" s="65"/>
      <c r="D453" s="65"/>
      <c r="E453" s="71"/>
      <c r="F453" s="67"/>
      <c r="G453" s="67"/>
      <c r="H453" s="67"/>
      <c r="I453" s="67"/>
      <c r="J453" s="67"/>
      <c r="K453" s="68"/>
      <c r="L453" s="69"/>
      <c r="M453" s="70"/>
      <c r="N453" s="71"/>
      <c r="O453" s="85"/>
    </row>
    <row r="454" spans="1:15" ht="30" customHeight="1">
      <c r="A454" s="76"/>
      <c r="B454" s="65"/>
      <c r="C454" s="65"/>
      <c r="D454" s="65"/>
      <c r="E454" s="71"/>
      <c r="F454" s="67"/>
      <c r="G454" s="67"/>
      <c r="H454" s="67"/>
      <c r="I454" s="67"/>
      <c r="J454" s="67"/>
      <c r="K454" s="68"/>
      <c r="L454" s="69"/>
      <c r="M454" s="70"/>
      <c r="N454" s="71"/>
      <c r="O454" s="85"/>
    </row>
    <row r="455" spans="1:15" ht="30" customHeight="1">
      <c r="A455" s="76"/>
      <c r="B455" s="65"/>
      <c r="C455" s="65"/>
      <c r="D455" s="65"/>
      <c r="E455" s="71"/>
      <c r="F455" s="67"/>
      <c r="G455" s="67"/>
      <c r="H455" s="67"/>
      <c r="I455" s="67"/>
      <c r="J455" s="67"/>
      <c r="K455" s="68"/>
      <c r="L455" s="69"/>
      <c r="M455" s="70"/>
      <c r="N455" s="71"/>
      <c r="O455" s="85"/>
    </row>
    <row r="456" spans="1:15" ht="30" customHeight="1">
      <c r="A456" s="76"/>
      <c r="B456" s="65"/>
      <c r="C456" s="65"/>
      <c r="D456" s="65"/>
      <c r="E456" s="71"/>
      <c r="F456" s="67"/>
      <c r="G456" s="67"/>
      <c r="H456" s="67"/>
      <c r="I456" s="67"/>
      <c r="J456" s="67"/>
      <c r="K456" s="68"/>
      <c r="L456" s="69"/>
      <c r="M456" s="70"/>
      <c r="N456" s="71"/>
      <c r="O456" s="85"/>
    </row>
    <row r="457" spans="1:15" ht="30" customHeight="1">
      <c r="A457" s="76"/>
      <c r="B457" s="65"/>
      <c r="C457" s="65"/>
      <c r="D457" s="65"/>
      <c r="E457" s="71"/>
      <c r="F457" s="67"/>
      <c r="G457" s="67"/>
      <c r="H457" s="67"/>
      <c r="I457" s="67"/>
      <c r="J457" s="67"/>
      <c r="K457" s="68"/>
      <c r="L457" s="69"/>
      <c r="M457" s="70"/>
      <c r="N457" s="71"/>
      <c r="O457" s="85"/>
    </row>
    <row r="458" spans="1:15" ht="30" customHeight="1">
      <c r="A458" s="76"/>
      <c r="B458" s="65"/>
      <c r="C458" s="65"/>
      <c r="D458" s="65"/>
      <c r="E458" s="71"/>
      <c r="F458" s="67"/>
      <c r="G458" s="67"/>
      <c r="H458" s="67"/>
      <c r="I458" s="67"/>
      <c r="J458" s="67"/>
      <c r="K458" s="68"/>
      <c r="L458" s="69"/>
      <c r="M458" s="70"/>
      <c r="N458" s="71"/>
      <c r="O458" s="85"/>
    </row>
    <row r="459" spans="1:15" ht="30" customHeight="1">
      <c r="A459" s="76"/>
      <c r="B459" s="65"/>
      <c r="C459" s="65"/>
      <c r="D459" s="65"/>
      <c r="E459" s="71"/>
      <c r="F459" s="67"/>
      <c r="G459" s="67"/>
      <c r="H459" s="67"/>
      <c r="I459" s="67"/>
      <c r="J459" s="67"/>
      <c r="K459" s="68"/>
      <c r="L459" s="69"/>
      <c r="M459" s="70"/>
      <c r="N459" s="71"/>
      <c r="O459" s="85"/>
    </row>
    <row r="460" spans="1:15" ht="30" customHeight="1">
      <c r="A460" s="76"/>
      <c r="B460" s="65"/>
      <c r="C460" s="65"/>
      <c r="D460" s="65"/>
      <c r="E460" s="71"/>
      <c r="F460" s="67"/>
      <c r="G460" s="67"/>
      <c r="H460" s="67"/>
      <c r="I460" s="67"/>
      <c r="J460" s="67"/>
      <c r="K460" s="68"/>
      <c r="L460" s="69"/>
      <c r="M460" s="70"/>
      <c r="N460" s="71"/>
      <c r="O460" s="85"/>
    </row>
    <row r="461" spans="1:15" ht="30" customHeight="1">
      <c r="A461" s="76"/>
      <c r="B461" s="65"/>
      <c r="C461" s="65"/>
      <c r="D461" s="65"/>
      <c r="E461" s="71"/>
      <c r="F461" s="67"/>
      <c r="G461" s="67"/>
      <c r="H461" s="67"/>
      <c r="I461" s="67"/>
      <c r="J461" s="67"/>
      <c r="K461" s="68"/>
      <c r="L461" s="69"/>
      <c r="M461" s="70"/>
      <c r="N461" s="71"/>
      <c r="O461" s="85"/>
    </row>
    <row r="462" spans="1:15" ht="30" customHeight="1">
      <c r="A462" s="76"/>
      <c r="B462" s="65"/>
      <c r="C462" s="65"/>
      <c r="D462" s="65"/>
      <c r="E462" s="71"/>
      <c r="F462" s="67"/>
      <c r="G462" s="67"/>
      <c r="H462" s="67"/>
      <c r="I462" s="67"/>
      <c r="J462" s="67"/>
      <c r="K462" s="68"/>
      <c r="L462" s="69"/>
      <c r="M462" s="70"/>
      <c r="N462" s="71"/>
      <c r="O462" s="85"/>
    </row>
    <row r="463" spans="1:15" ht="30" customHeight="1">
      <c r="A463" s="76"/>
      <c r="B463" s="65"/>
      <c r="C463" s="65"/>
      <c r="D463" s="65"/>
      <c r="E463" s="71"/>
      <c r="F463" s="67"/>
      <c r="G463" s="67"/>
      <c r="H463" s="67"/>
      <c r="I463" s="67"/>
      <c r="J463" s="67"/>
      <c r="K463" s="68"/>
      <c r="L463" s="69"/>
      <c r="M463" s="70"/>
      <c r="N463" s="71"/>
      <c r="O463" s="85"/>
    </row>
    <row r="464" spans="1:15" ht="30" customHeight="1">
      <c r="A464" s="76"/>
      <c r="B464" s="65"/>
      <c r="C464" s="65"/>
      <c r="D464" s="65"/>
      <c r="E464" s="71"/>
      <c r="F464" s="67"/>
      <c r="G464" s="67"/>
      <c r="H464" s="67"/>
      <c r="I464" s="67"/>
      <c r="J464" s="67"/>
      <c r="K464" s="68"/>
      <c r="L464" s="69"/>
      <c r="M464" s="70"/>
      <c r="N464" s="71"/>
      <c r="O464" s="85"/>
    </row>
    <row r="465" spans="1:15" ht="30" customHeight="1">
      <c r="A465" s="76"/>
      <c r="B465" s="65"/>
      <c r="C465" s="65"/>
      <c r="D465" s="65"/>
      <c r="E465" s="71"/>
      <c r="F465" s="67"/>
      <c r="G465" s="67"/>
      <c r="H465" s="67"/>
      <c r="I465" s="67"/>
      <c r="J465" s="67"/>
      <c r="K465" s="68"/>
      <c r="L465" s="69"/>
      <c r="M465" s="70"/>
      <c r="N465" s="71"/>
      <c r="O465" s="85"/>
    </row>
    <row r="466" spans="1:15" ht="30" customHeight="1">
      <c r="A466" s="76"/>
      <c r="B466" s="65"/>
      <c r="C466" s="65"/>
      <c r="D466" s="65"/>
      <c r="E466" s="71"/>
      <c r="F466" s="67"/>
      <c r="G466" s="67"/>
      <c r="H466" s="67"/>
      <c r="I466" s="67"/>
      <c r="J466" s="67"/>
      <c r="K466" s="68"/>
      <c r="L466" s="69"/>
      <c r="M466" s="70"/>
      <c r="N466" s="71"/>
      <c r="O466" s="85"/>
    </row>
    <row r="467" spans="1:15" ht="30" customHeight="1">
      <c r="A467" s="76"/>
      <c r="B467" s="65"/>
      <c r="C467" s="65"/>
      <c r="D467" s="65"/>
      <c r="E467" s="71"/>
      <c r="F467" s="67"/>
      <c r="G467" s="67"/>
      <c r="H467" s="67"/>
      <c r="I467" s="67"/>
      <c r="J467" s="67"/>
      <c r="K467" s="68"/>
      <c r="L467" s="69"/>
      <c r="M467" s="70"/>
      <c r="N467" s="71"/>
      <c r="O467" s="85"/>
    </row>
    <row r="468" spans="1:15" ht="30" customHeight="1">
      <c r="A468" s="76"/>
      <c r="B468" s="65"/>
      <c r="C468" s="65"/>
      <c r="D468" s="65"/>
      <c r="E468" s="71"/>
      <c r="F468" s="67"/>
      <c r="G468" s="67"/>
      <c r="H468" s="67"/>
      <c r="I468" s="67"/>
      <c r="J468" s="67"/>
      <c r="K468" s="68"/>
      <c r="L468" s="69"/>
      <c r="M468" s="70"/>
      <c r="N468" s="71"/>
      <c r="O468" s="85"/>
    </row>
    <row r="469" spans="1:15" ht="30" customHeight="1">
      <c r="A469" s="76"/>
      <c r="B469" s="65"/>
      <c r="C469" s="65"/>
      <c r="D469" s="65"/>
      <c r="E469" s="71"/>
      <c r="F469" s="67"/>
      <c r="G469" s="67"/>
      <c r="H469" s="67"/>
      <c r="I469" s="67"/>
      <c r="J469" s="67"/>
      <c r="K469" s="68"/>
      <c r="L469" s="69"/>
      <c r="M469" s="70"/>
      <c r="N469" s="71"/>
      <c r="O469" s="85"/>
    </row>
    <row r="470" spans="1:15" ht="30" customHeight="1">
      <c r="A470" s="76"/>
      <c r="B470" s="65"/>
      <c r="C470" s="65"/>
      <c r="D470" s="65"/>
      <c r="E470" s="71"/>
      <c r="F470" s="67"/>
      <c r="G470" s="67"/>
      <c r="H470" s="67"/>
      <c r="I470" s="67"/>
      <c r="J470" s="67"/>
      <c r="K470" s="68"/>
      <c r="L470" s="69"/>
      <c r="M470" s="70"/>
      <c r="N470" s="71"/>
      <c r="O470" s="85"/>
    </row>
    <row r="471" spans="1:15" ht="30" customHeight="1">
      <c r="A471" s="76"/>
      <c r="B471" s="65"/>
      <c r="C471" s="65"/>
      <c r="D471" s="65"/>
      <c r="E471" s="71"/>
      <c r="F471" s="67"/>
      <c r="G471" s="67"/>
      <c r="H471" s="67"/>
      <c r="I471" s="67"/>
      <c r="J471" s="67"/>
      <c r="K471" s="68"/>
      <c r="L471" s="69"/>
      <c r="M471" s="70"/>
      <c r="N471" s="71"/>
      <c r="O471" s="85"/>
    </row>
    <row r="472" spans="1:15" ht="30" customHeight="1">
      <c r="A472" s="76"/>
      <c r="B472" s="65"/>
      <c r="C472" s="65"/>
      <c r="D472" s="65"/>
      <c r="E472" s="71"/>
      <c r="F472" s="67"/>
      <c r="G472" s="67"/>
      <c r="H472" s="67"/>
      <c r="I472" s="67"/>
      <c r="J472" s="67"/>
      <c r="K472" s="68"/>
      <c r="L472" s="69"/>
      <c r="M472" s="70"/>
      <c r="N472" s="71"/>
      <c r="O472" s="85"/>
    </row>
    <row r="473" spans="1:15" ht="30" customHeight="1">
      <c r="A473" s="76"/>
      <c r="B473" s="65"/>
      <c r="C473" s="65"/>
      <c r="D473" s="65"/>
      <c r="E473" s="71"/>
      <c r="F473" s="67"/>
      <c r="G473" s="67"/>
      <c r="H473" s="67"/>
      <c r="I473" s="67"/>
      <c r="J473" s="67"/>
      <c r="K473" s="68"/>
      <c r="L473" s="69"/>
      <c r="M473" s="70"/>
      <c r="N473" s="71"/>
      <c r="O473" s="85"/>
    </row>
    <row r="474" spans="1:15" ht="30" customHeight="1">
      <c r="A474" s="76"/>
      <c r="B474" s="65"/>
      <c r="C474" s="65"/>
      <c r="D474" s="65"/>
      <c r="E474" s="71"/>
      <c r="F474" s="67"/>
      <c r="G474" s="67"/>
      <c r="H474" s="67"/>
      <c r="I474" s="67"/>
      <c r="J474" s="67"/>
      <c r="K474" s="68"/>
      <c r="L474" s="69"/>
      <c r="M474" s="70"/>
      <c r="N474" s="71"/>
      <c r="O474" s="85"/>
    </row>
    <row r="475" spans="1:15" ht="30" customHeight="1">
      <c r="A475" s="76"/>
      <c r="B475" s="65"/>
      <c r="C475" s="65"/>
      <c r="D475" s="65"/>
      <c r="E475" s="71"/>
      <c r="F475" s="67"/>
      <c r="G475" s="67"/>
      <c r="H475" s="67"/>
      <c r="I475" s="67"/>
      <c r="J475" s="67"/>
      <c r="K475" s="68"/>
      <c r="L475" s="69"/>
      <c r="M475" s="70"/>
      <c r="N475" s="71"/>
      <c r="O475" s="85"/>
    </row>
    <row r="476" spans="1:15" ht="30" customHeight="1">
      <c r="A476" s="76"/>
      <c r="B476" s="65"/>
      <c r="C476" s="65"/>
      <c r="D476" s="65"/>
      <c r="E476" s="71"/>
      <c r="F476" s="67"/>
      <c r="G476" s="67"/>
      <c r="H476" s="67"/>
      <c r="I476" s="67"/>
      <c r="J476" s="67"/>
      <c r="K476" s="68"/>
      <c r="L476" s="69"/>
      <c r="M476" s="70"/>
      <c r="N476" s="71"/>
      <c r="O476" s="85"/>
    </row>
    <row r="477" spans="1:15" ht="30" customHeight="1">
      <c r="A477" s="76"/>
      <c r="B477" s="65"/>
      <c r="C477" s="65"/>
      <c r="D477" s="65"/>
      <c r="E477" s="71"/>
      <c r="F477" s="67"/>
      <c r="G477" s="67"/>
      <c r="H477" s="67"/>
      <c r="I477" s="67"/>
      <c r="J477" s="67"/>
      <c r="K477" s="68"/>
      <c r="L477" s="69"/>
      <c r="M477" s="70"/>
      <c r="N477" s="71"/>
      <c r="O477" s="85"/>
    </row>
    <row r="478" spans="1:15" ht="30" customHeight="1">
      <c r="A478" s="76"/>
      <c r="B478" s="65"/>
      <c r="C478" s="65"/>
      <c r="D478" s="65"/>
      <c r="E478" s="71"/>
      <c r="F478" s="67"/>
      <c r="G478" s="67"/>
      <c r="H478" s="67"/>
      <c r="I478" s="67"/>
      <c r="J478" s="67"/>
      <c r="K478" s="68"/>
      <c r="L478" s="69"/>
      <c r="M478" s="70"/>
      <c r="N478" s="71"/>
      <c r="O478" s="85"/>
    </row>
    <row r="479" spans="1:15" ht="30" customHeight="1">
      <c r="A479" s="76"/>
      <c r="B479" s="65"/>
      <c r="C479" s="65"/>
      <c r="D479" s="65"/>
      <c r="E479" s="71"/>
      <c r="F479" s="67"/>
      <c r="G479" s="67"/>
      <c r="H479" s="67"/>
      <c r="I479" s="67"/>
      <c r="J479" s="67"/>
      <c r="K479" s="68"/>
      <c r="L479" s="69"/>
      <c r="M479" s="70"/>
      <c r="N479" s="71"/>
      <c r="O479" s="85"/>
    </row>
    <row r="480" spans="1:15" ht="30" customHeight="1">
      <c r="A480" s="76"/>
      <c r="B480" s="65"/>
      <c r="C480" s="65"/>
      <c r="D480" s="65"/>
      <c r="E480" s="71"/>
      <c r="F480" s="67"/>
      <c r="G480" s="67"/>
      <c r="H480" s="67"/>
      <c r="I480" s="67"/>
      <c r="J480" s="67"/>
      <c r="K480" s="68"/>
      <c r="L480" s="69"/>
      <c r="M480" s="70"/>
      <c r="N480" s="71"/>
      <c r="O480" s="85"/>
    </row>
    <row r="481" spans="1:15" ht="30" customHeight="1">
      <c r="A481" s="76"/>
      <c r="B481" s="65"/>
      <c r="C481" s="65"/>
      <c r="D481" s="65"/>
      <c r="E481" s="71"/>
      <c r="F481" s="67"/>
      <c r="G481" s="67"/>
      <c r="H481" s="67"/>
      <c r="I481" s="67"/>
      <c r="J481" s="67"/>
      <c r="K481" s="68"/>
      <c r="L481" s="69"/>
      <c r="M481" s="70"/>
      <c r="N481" s="71"/>
      <c r="O481" s="85"/>
    </row>
    <row r="482" spans="1:15" ht="30" customHeight="1">
      <c r="A482" s="76"/>
      <c r="B482" s="65"/>
      <c r="C482" s="65"/>
      <c r="D482" s="65"/>
      <c r="E482" s="71"/>
      <c r="F482" s="67"/>
      <c r="G482" s="67"/>
      <c r="H482" s="67"/>
      <c r="I482" s="67"/>
      <c r="J482" s="67"/>
      <c r="K482" s="68"/>
      <c r="L482" s="69"/>
      <c r="M482" s="70"/>
      <c r="N482" s="71"/>
      <c r="O482" s="85"/>
    </row>
    <row r="483" spans="1:15" ht="30" customHeight="1">
      <c r="A483" s="76"/>
      <c r="B483" s="65"/>
      <c r="C483" s="65"/>
      <c r="D483" s="65"/>
      <c r="E483" s="71"/>
      <c r="F483" s="67"/>
      <c r="G483" s="67"/>
      <c r="H483" s="67"/>
      <c r="I483" s="67"/>
      <c r="J483" s="67"/>
      <c r="K483" s="68"/>
      <c r="L483" s="69"/>
      <c r="M483" s="70"/>
      <c r="N483" s="71"/>
      <c r="O483" s="85"/>
    </row>
    <row r="484" spans="1:15" ht="30" customHeight="1">
      <c r="A484" s="76"/>
      <c r="B484" s="65"/>
      <c r="C484" s="65"/>
      <c r="D484" s="65"/>
      <c r="E484" s="71"/>
      <c r="F484" s="67"/>
      <c r="G484" s="67"/>
      <c r="H484" s="67"/>
      <c r="I484" s="67"/>
      <c r="J484" s="67"/>
      <c r="K484" s="68"/>
      <c r="L484" s="69"/>
      <c r="M484" s="70"/>
      <c r="N484" s="71"/>
      <c r="O484" s="85"/>
    </row>
    <row r="485" spans="1:15" ht="30" customHeight="1">
      <c r="A485" s="76"/>
      <c r="B485" s="65"/>
      <c r="C485" s="65"/>
      <c r="D485" s="65"/>
      <c r="E485" s="71"/>
      <c r="F485" s="67"/>
      <c r="G485" s="67"/>
      <c r="H485" s="67"/>
      <c r="I485" s="67"/>
      <c r="J485" s="67"/>
      <c r="K485" s="68"/>
      <c r="L485" s="69"/>
      <c r="M485" s="70"/>
      <c r="N485" s="71"/>
      <c r="O485" s="85"/>
    </row>
    <row r="486" spans="1:15" ht="30" customHeight="1">
      <c r="A486" s="76"/>
      <c r="B486" s="65"/>
      <c r="C486" s="65"/>
      <c r="D486" s="65"/>
      <c r="E486" s="71"/>
      <c r="F486" s="67"/>
      <c r="G486" s="67"/>
      <c r="H486" s="67"/>
      <c r="I486" s="67"/>
      <c r="J486" s="67"/>
      <c r="K486" s="68"/>
      <c r="L486" s="69"/>
      <c r="M486" s="70"/>
      <c r="N486" s="71"/>
      <c r="O486" s="85"/>
    </row>
    <row r="487" spans="1:15" ht="30" customHeight="1">
      <c r="A487" s="76"/>
      <c r="B487" s="65"/>
      <c r="C487" s="65"/>
      <c r="D487" s="65"/>
      <c r="E487" s="71"/>
      <c r="F487" s="67"/>
      <c r="G487" s="67"/>
      <c r="H487" s="67"/>
      <c r="I487" s="67"/>
      <c r="J487" s="67"/>
      <c r="K487" s="68"/>
      <c r="L487" s="69"/>
      <c r="M487" s="70"/>
      <c r="N487" s="71"/>
      <c r="O487" s="85"/>
    </row>
    <row r="488" spans="1:15" ht="30" customHeight="1">
      <c r="A488" s="76"/>
      <c r="B488" s="65"/>
      <c r="C488" s="65"/>
      <c r="D488" s="65"/>
      <c r="E488" s="71"/>
      <c r="F488" s="67"/>
      <c r="G488" s="67"/>
      <c r="H488" s="67"/>
      <c r="I488" s="67"/>
      <c r="J488" s="67"/>
      <c r="K488" s="68"/>
      <c r="L488" s="69"/>
      <c r="M488" s="70"/>
      <c r="N488" s="71"/>
      <c r="O488" s="85"/>
    </row>
    <row r="489" spans="1:15" ht="30" customHeight="1">
      <c r="A489" s="76"/>
      <c r="B489" s="65"/>
      <c r="C489" s="65"/>
      <c r="D489" s="65"/>
      <c r="E489" s="71"/>
      <c r="F489" s="67"/>
      <c r="G489" s="67"/>
      <c r="H489" s="67"/>
      <c r="I489" s="67"/>
      <c r="J489" s="67"/>
      <c r="K489" s="68"/>
      <c r="L489" s="69"/>
      <c r="M489" s="70"/>
      <c r="N489" s="71"/>
      <c r="O489" s="85"/>
    </row>
    <row r="490" spans="1:15" ht="30" customHeight="1">
      <c r="A490" s="76"/>
      <c r="B490" s="65"/>
      <c r="C490" s="65"/>
      <c r="D490" s="65"/>
      <c r="E490" s="71"/>
      <c r="F490" s="67"/>
      <c r="G490" s="67"/>
      <c r="H490" s="67"/>
      <c r="I490" s="67"/>
      <c r="J490" s="67"/>
      <c r="K490" s="68"/>
      <c r="L490" s="69"/>
      <c r="M490" s="70"/>
      <c r="N490" s="71"/>
      <c r="O490" s="85"/>
    </row>
    <row r="491" spans="1:15" ht="30" customHeight="1">
      <c r="A491" s="76"/>
      <c r="B491" s="65"/>
      <c r="C491" s="65"/>
      <c r="D491" s="65"/>
      <c r="E491" s="71"/>
      <c r="F491" s="67"/>
      <c r="G491" s="67"/>
      <c r="H491" s="67"/>
      <c r="I491" s="67"/>
      <c r="J491" s="67"/>
      <c r="K491" s="68"/>
      <c r="L491" s="69"/>
      <c r="M491" s="70"/>
      <c r="N491" s="71"/>
      <c r="O491" s="85"/>
    </row>
    <row r="492" spans="1:15" ht="30" customHeight="1">
      <c r="A492" s="76"/>
      <c r="B492" s="65"/>
      <c r="C492" s="65"/>
      <c r="D492" s="65"/>
      <c r="E492" s="71"/>
      <c r="F492" s="67"/>
      <c r="G492" s="67"/>
      <c r="H492" s="67"/>
      <c r="I492" s="67"/>
      <c r="J492" s="67"/>
      <c r="K492" s="68"/>
      <c r="L492" s="69"/>
      <c r="M492" s="70"/>
      <c r="N492" s="71"/>
      <c r="O492" s="85"/>
    </row>
    <row r="493" spans="1:15" ht="30" customHeight="1">
      <c r="A493" s="76"/>
      <c r="B493" s="65"/>
      <c r="C493" s="65"/>
      <c r="D493" s="65"/>
      <c r="E493" s="71"/>
      <c r="F493" s="67"/>
      <c r="G493" s="67"/>
      <c r="H493" s="67"/>
      <c r="I493" s="67"/>
      <c r="J493" s="67"/>
      <c r="K493" s="68"/>
      <c r="L493" s="69"/>
      <c r="M493" s="70"/>
      <c r="N493" s="71"/>
      <c r="O493" s="85"/>
    </row>
    <row r="494" spans="1:15" ht="30" customHeight="1">
      <c r="A494" s="76"/>
      <c r="B494" s="65"/>
      <c r="C494" s="65"/>
      <c r="D494" s="65"/>
      <c r="E494" s="71"/>
      <c r="F494" s="67"/>
      <c r="G494" s="67"/>
      <c r="H494" s="67"/>
      <c r="I494" s="67"/>
      <c r="J494" s="67"/>
      <c r="K494" s="68"/>
      <c r="L494" s="69"/>
      <c r="M494" s="70"/>
      <c r="N494" s="71"/>
      <c r="O494" s="85"/>
    </row>
    <row r="495" spans="1:15" ht="30" customHeight="1">
      <c r="A495" s="76"/>
      <c r="B495" s="65"/>
      <c r="C495" s="65"/>
      <c r="D495" s="65"/>
      <c r="E495" s="71"/>
      <c r="F495" s="67"/>
      <c r="G495" s="67"/>
      <c r="H495" s="67"/>
      <c r="I495" s="67"/>
      <c r="J495" s="67"/>
      <c r="K495" s="68"/>
      <c r="L495" s="69"/>
      <c r="M495" s="70"/>
      <c r="N495" s="71"/>
      <c r="O495" s="85"/>
    </row>
    <row r="496" spans="1:15" ht="30" customHeight="1">
      <c r="A496" s="76"/>
      <c r="B496" s="65"/>
      <c r="C496" s="65"/>
      <c r="D496" s="65"/>
      <c r="E496" s="71"/>
      <c r="F496" s="67"/>
      <c r="G496" s="67"/>
      <c r="H496" s="67"/>
      <c r="I496" s="67"/>
      <c r="J496" s="67"/>
      <c r="K496" s="68"/>
      <c r="L496" s="69"/>
      <c r="M496" s="70"/>
      <c r="N496" s="71"/>
      <c r="O496" s="85"/>
    </row>
    <row r="497" spans="1:15" ht="30" customHeight="1">
      <c r="A497" s="76"/>
      <c r="B497" s="65"/>
      <c r="C497" s="65"/>
      <c r="D497" s="65"/>
      <c r="E497" s="71"/>
      <c r="F497" s="67"/>
      <c r="G497" s="67"/>
      <c r="H497" s="67"/>
      <c r="I497" s="67"/>
      <c r="J497" s="67"/>
      <c r="K497" s="68"/>
      <c r="L497" s="69"/>
      <c r="M497" s="70"/>
      <c r="N497" s="71"/>
      <c r="O497" s="85"/>
    </row>
    <row r="498" spans="1:15" ht="30" customHeight="1">
      <c r="A498" s="76"/>
      <c r="B498" s="65"/>
      <c r="C498" s="65"/>
      <c r="D498" s="65"/>
      <c r="E498" s="71"/>
      <c r="F498" s="67"/>
      <c r="G498" s="67"/>
      <c r="H498" s="67"/>
      <c r="I498" s="67"/>
      <c r="J498" s="67"/>
      <c r="K498" s="68"/>
      <c r="L498" s="69"/>
      <c r="M498" s="70"/>
      <c r="N498" s="71"/>
      <c r="O498" s="85"/>
    </row>
    <row r="499" spans="1:15" ht="30" customHeight="1">
      <c r="A499" s="76"/>
      <c r="B499" s="65"/>
      <c r="C499" s="65"/>
      <c r="D499" s="65"/>
      <c r="E499" s="71"/>
      <c r="F499" s="67"/>
      <c r="G499" s="67"/>
      <c r="H499" s="67"/>
      <c r="I499" s="67"/>
      <c r="J499" s="67"/>
      <c r="K499" s="68"/>
      <c r="L499" s="69"/>
      <c r="M499" s="70"/>
      <c r="N499" s="71"/>
      <c r="O499" s="85"/>
    </row>
    <row r="500" spans="1:15" ht="30" customHeight="1">
      <c r="A500" s="76"/>
      <c r="B500" s="65"/>
      <c r="C500" s="65"/>
      <c r="D500" s="65"/>
      <c r="E500" s="71"/>
      <c r="F500" s="67"/>
      <c r="G500" s="67"/>
      <c r="H500" s="67"/>
      <c r="I500" s="67"/>
      <c r="J500" s="67"/>
      <c r="K500" s="68"/>
      <c r="L500" s="69"/>
      <c r="M500" s="70"/>
      <c r="N500" s="71"/>
      <c r="O500" s="85"/>
    </row>
    <row r="501" spans="1:15" ht="30" customHeight="1">
      <c r="A501" s="76"/>
      <c r="B501" s="65"/>
      <c r="C501" s="65"/>
      <c r="D501" s="65"/>
      <c r="E501" s="71"/>
      <c r="F501" s="67"/>
      <c r="G501" s="67"/>
      <c r="H501" s="67"/>
      <c r="I501" s="67"/>
      <c r="J501" s="67"/>
      <c r="K501" s="68"/>
      <c r="L501" s="69"/>
      <c r="M501" s="70"/>
      <c r="N501" s="71"/>
      <c r="O501" s="85"/>
    </row>
    <row r="502" spans="1:15" ht="30" customHeight="1">
      <c r="A502" s="76"/>
      <c r="B502" s="65"/>
      <c r="C502" s="65"/>
      <c r="D502" s="65"/>
      <c r="E502" s="71"/>
      <c r="F502" s="67"/>
      <c r="G502" s="67"/>
      <c r="H502" s="67"/>
      <c r="I502" s="67"/>
      <c r="J502" s="67"/>
      <c r="K502" s="68"/>
      <c r="L502" s="69"/>
      <c r="M502" s="70"/>
      <c r="N502" s="71"/>
      <c r="O502" s="85"/>
    </row>
    <row r="503" spans="1:15" ht="30" customHeight="1">
      <c r="A503" s="76"/>
      <c r="B503" s="65"/>
      <c r="C503" s="65"/>
      <c r="D503" s="65"/>
      <c r="E503" s="71"/>
      <c r="F503" s="67"/>
      <c r="G503" s="67"/>
      <c r="H503" s="67"/>
      <c r="I503" s="67"/>
      <c r="J503" s="67"/>
      <c r="K503" s="68"/>
      <c r="L503" s="69"/>
      <c r="M503" s="70"/>
      <c r="N503" s="71"/>
      <c r="O503" s="85"/>
    </row>
    <row r="504" spans="1:15" ht="30" customHeight="1">
      <c r="A504" s="76"/>
      <c r="B504" s="65"/>
      <c r="C504" s="65"/>
      <c r="D504" s="65"/>
      <c r="E504" s="71"/>
      <c r="F504" s="67"/>
      <c r="G504" s="67"/>
      <c r="H504" s="67"/>
      <c r="I504" s="67"/>
      <c r="J504" s="67"/>
      <c r="K504" s="68"/>
      <c r="L504" s="69"/>
      <c r="M504" s="70"/>
      <c r="N504" s="71"/>
      <c r="O504" s="85"/>
    </row>
    <row r="505" spans="1:15" ht="30" customHeight="1">
      <c r="A505" s="76"/>
      <c r="B505" s="65"/>
      <c r="C505" s="65"/>
      <c r="D505" s="65"/>
      <c r="E505" s="71"/>
      <c r="F505" s="67"/>
      <c r="G505" s="67"/>
      <c r="H505" s="67"/>
      <c r="I505" s="67"/>
      <c r="J505" s="67"/>
      <c r="K505" s="68"/>
      <c r="L505" s="69"/>
      <c r="M505" s="70"/>
      <c r="N505" s="71"/>
      <c r="O505" s="85"/>
    </row>
    <row r="506" spans="1:15" ht="30" customHeight="1">
      <c r="A506" s="76"/>
      <c r="B506" s="65"/>
      <c r="C506" s="65"/>
      <c r="D506" s="65"/>
      <c r="E506" s="71"/>
      <c r="F506" s="67"/>
      <c r="G506" s="67"/>
      <c r="H506" s="67"/>
      <c r="I506" s="67"/>
      <c r="J506" s="67"/>
      <c r="K506" s="68"/>
      <c r="L506" s="69"/>
      <c r="M506" s="70"/>
      <c r="N506" s="71"/>
      <c r="O506" s="85"/>
    </row>
    <row r="507" spans="1:15" ht="30" customHeight="1">
      <c r="A507" s="76"/>
      <c r="B507" s="65"/>
      <c r="C507" s="65"/>
      <c r="D507" s="65"/>
      <c r="E507" s="71"/>
      <c r="F507" s="67"/>
      <c r="G507" s="67"/>
      <c r="H507" s="67"/>
      <c r="I507" s="67"/>
      <c r="J507" s="67"/>
      <c r="K507" s="68"/>
      <c r="L507" s="69"/>
      <c r="M507" s="70"/>
      <c r="N507" s="71"/>
      <c r="O507" s="85"/>
    </row>
    <row r="508" spans="1:15" ht="30" customHeight="1">
      <c r="A508" s="76"/>
      <c r="B508" s="65"/>
      <c r="C508" s="65"/>
      <c r="D508" s="65"/>
      <c r="E508" s="71"/>
      <c r="F508" s="67"/>
      <c r="G508" s="67"/>
      <c r="H508" s="67"/>
      <c r="I508" s="67"/>
      <c r="J508" s="67"/>
      <c r="K508" s="68"/>
      <c r="L508" s="69"/>
      <c r="M508" s="70"/>
      <c r="N508" s="71"/>
      <c r="O508" s="85"/>
    </row>
    <row r="509" spans="1:15" ht="30" customHeight="1">
      <c r="A509" s="76"/>
      <c r="B509" s="65"/>
      <c r="C509" s="65"/>
      <c r="D509" s="65"/>
      <c r="E509" s="71"/>
      <c r="F509" s="67"/>
      <c r="G509" s="67"/>
      <c r="H509" s="67"/>
      <c r="I509" s="67"/>
      <c r="J509" s="67"/>
      <c r="K509" s="68"/>
      <c r="L509" s="69"/>
      <c r="M509" s="70"/>
      <c r="N509" s="71"/>
      <c r="O509" s="85"/>
    </row>
    <row r="510" spans="1:15" ht="30" customHeight="1">
      <c r="A510" s="76"/>
      <c r="B510" s="65"/>
      <c r="C510" s="65"/>
      <c r="D510" s="65"/>
      <c r="E510" s="71"/>
      <c r="F510" s="67"/>
      <c r="G510" s="67"/>
      <c r="H510" s="67"/>
      <c r="I510" s="67"/>
      <c r="J510" s="67"/>
      <c r="K510" s="68"/>
      <c r="L510" s="69"/>
      <c r="M510" s="70"/>
      <c r="N510" s="71"/>
      <c r="O510" s="85"/>
    </row>
    <row r="511" spans="1:15" ht="30" customHeight="1">
      <c r="A511" s="76"/>
      <c r="B511" s="65"/>
      <c r="C511" s="65"/>
      <c r="D511" s="65"/>
      <c r="E511" s="71"/>
      <c r="F511" s="67"/>
      <c r="G511" s="67"/>
      <c r="H511" s="67"/>
      <c r="I511" s="67"/>
      <c r="J511" s="67"/>
      <c r="K511" s="68"/>
      <c r="L511" s="69"/>
      <c r="M511" s="70"/>
      <c r="N511" s="71"/>
      <c r="O511" s="85"/>
    </row>
    <row r="512" spans="1:15" ht="30" customHeight="1">
      <c r="A512" s="76"/>
      <c r="B512" s="65"/>
      <c r="C512" s="65"/>
      <c r="D512" s="65"/>
      <c r="E512" s="71"/>
      <c r="F512" s="67"/>
      <c r="G512" s="67"/>
      <c r="H512" s="67"/>
      <c r="I512" s="67"/>
      <c r="J512" s="67"/>
      <c r="K512" s="68"/>
      <c r="L512" s="69"/>
      <c r="M512" s="70"/>
      <c r="N512" s="71"/>
      <c r="O512" s="85"/>
    </row>
    <row r="513" spans="1:15" ht="30" customHeight="1">
      <c r="A513" s="76"/>
      <c r="B513" s="65"/>
      <c r="C513" s="65"/>
      <c r="D513" s="65"/>
      <c r="E513" s="71"/>
      <c r="F513" s="67"/>
      <c r="G513" s="67"/>
      <c r="H513" s="67"/>
      <c r="I513" s="67"/>
      <c r="J513" s="67"/>
      <c r="K513" s="68"/>
      <c r="L513" s="69"/>
      <c r="M513" s="70"/>
      <c r="N513" s="71"/>
      <c r="O513" s="85"/>
    </row>
    <row r="514" spans="1:15" ht="30" customHeight="1">
      <c r="A514" s="76"/>
      <c r="B514" s="65"/>
      <c r="C514" s="65"/>
      <c r="D514" s="65"/>
      <c r="E514" s="71"/>
      <c r="F514" s="67"/>
      <c r="G514" s="67"/>
      <c r="H514" s="67"/>
      <c r="I514" s="67"/>
      <c r="J514" s="67"/>
      <c r="K514" s="68"/>
      <c r="L514" s="69"/>
      <c r="M514" s="70"/>
      <c r="N514" s="71"/>
      <c r="O514" s="85"/>
    </row>
    <row r="515" spans="1:15" ht="30" customHeight="1">
      <c r="A515" s="76"/>
      <c r="B515" s="65"/>
      <c r="C515" s="65"/>
      <c r="D515" s="65"/>
      <c r="E515" s="71"/>
      <c r="F515" s="67"/>
      <c r="G515" s="67"/>
      <c r="H515" s="67"/>
      <c r="I515" s="67"/>
      <c r="J515" s="67"/>
      <c r="K515" s="68"/>
      <c r="L515" s="69"/>
      <c r="M515" s="70"/>
      <c r="N515" s="71"/>
      <c r="O515" s="85"/>
    </row>
    <row r="516" spans="1:15" ht="30" customHeight="1">
      <c r="A516" s="76"/>
      <c r="B516" s="65"/>
      <c r="C516" s="65"/>
      <c r="D516" s="65"/>
      <c r="E516" s="71"/>
      <c r="F516" s="67"/>
      <c r="G516" s="67"/>
      <c r="H516" s="67"/>
      <c r="I516" s="67"/>
      <c r="J516" s="67"/>
      <c r="K516" s="68"/>
      <c r="L516" s="69"/>
      <c r="M516" s="70"/>
      <c r="N516" s="71"/>
      <c r="O516" s="85"/>
    </row>
    <row r="517" spans="1:15" ht="30" customHeight="1">
      <c r="A517" s="76"/>
      <c r="B517" s="65"/>
      <c r="C517" s="65"/>
      <c r="D517" s="65"/>
      <c r="E517" s="71"/>
      <c r="F517" s="67"/>
      <c r="G517" s="67"/>
      <c r="H517" s="67"/>
      <c r="I517" s="67"/>
      <c r="J517" s="67"/>
      <c r="K517" s="68"/>
      <c r="L517" s="69"/>
      <c r="M517" s="70"/>
      <c r="N517" s="71"/>
      <c r="O517" s="85"/>
    </row>
    <row r="518" spans="1:15" ht="30" customHeight="1">
      <c r="A518" s="76"/>
      <c r="B518" s="65"/>
      <c r="C518" s="65"/>
      <c r="D518" s="65"/>
      <c r="E518" s="71"/>
      <c r="F518" s="67"/>
      <c r="G518" s="67"/>
      <c r="H518" s="67"/>
      <c r="I518" s="67"/>
      <c r="J518" s="67"/>
      <c r="K518" s="68"/>
      <c r="L518" s="69"/>
      <c r="M518" s="70"/>
      <c r="N518" s="71"/>
      <c r="O518" s="85"/>
    </row>
    <row r="519" spans="1:15" ht="30" customHeight="1">
      <c r="A519" s="76"/>
      <c r="B519" s="65"/>
      <c r="C519" s="65"/>
      <c r="D519" s="65"/>
      <c r="E519" s="71"/>
      <c r="F519" s="67"/>
      <c r="G519" s="67"/>
      <c r="H519" s="67"/>
      <c r="I519" s="67"/>
      <c r="J519" s="67"/>
      <c r="K519" s="68"/>
      <c r="L519" s="69"/>
      <c r="M519" s="70"/>
      <c r="N519" s="71"/>
      <c r="O519" s="85"/>
    </row>
    <row r="520" spans="1:15" ht="30" customHeight="1">
      <c r="A520" s="76"/>
      <c r="B520" s="65"/>
      <c r="C520" s="65"/>
      <c r="D520" s="65"/>
      <c r="E520" s="71"/>
      <c r="F520" s="67"/>
      <c r="G520" s="67"/>
      <c r="H520" s="67"/>
      <c r="I520" s="67"/>
      <c r="J520" s="67"/>
      <c r="K520" s="68"/>
      <c r="L520" s="69"/>
      <c r="M520" s="70"/>
      <c r="N520" s="71"/>
      <c r="O520" s="85"/>
    </row>
    <row r="521" spans="1:15" ht="30" customHeight="1">
      <c r="A521" s="76"/>
      <c r="B521" s="65"/>
      <c r="C521" s="65"/>
      <c r="D521" s="65"/>
      <c r="E521" s="71"/>
      <c r="F521" s="67"/>
      <c r="G521" s="67"/>
      <c r="H521" s="67"/>
      <c r="I521" s="67"/>
      <c r="J521" s="67"/>
      <c r="K521" s="68"/>
      <c r="L521" s="69"/>
      <c r="M521" s="70"/>
      <c r="N521" s="71"/>
      <c r="O521" s="85"/>
    </row>
    <row r="522" spans="1:15" ht="30" customHeight="1">
      <c r="A522" s="76"/>
      <c r="B522" s="65"/>
      <c r="C522" s="65"/>
      <c r="D522" s="65"/>
      <c r="E522" s="71"/>
      <c r="F522" s="67"/>
      <c r="G522" s="67"/>
      <c r="H522" s="67"/>
      <c r="I522" s="67"/>
      <c r="J522" s="67"/>
      <c r="K522" s="68"/>
      <c r="L522" s="69"/>
      <c r="M522" s="70"/>
      <c r="N522" s="71"/>
      <c r="O522" s="85"/>
    </row>
    <row r="523" spans="1:15" ht="30" customHeight="1">
      <c r="A523" s="76"/>
      <c r="B523" s="65"/>
      <c r="C523" s="65"/>
      <c r="D523" s="65"/>
      <c r="E523" s="71"/>
      <c r="F523" s="67"/>
      <c r="G523" s="67"/>
      <c r="H523" s="67"/>
      <c r="I523" s="67"/>
      <c r="J523" s="67"/>
      <c r="K523" s="68"/>
      <c r="L523" s="69"/>
      <c r="M523" s="70"/>
      <c r="N523" s="71"/>
      <c r="O523" s="85"/>
    </row>
    <row r="524" spans="1:15" ht="30" customHeight="1">
      <c r="A524" s="76"/>
      <c r="B524" s="65"/>
      <c r="C524" s="65"/>
      <c r="D524" s="65"/>
      <c r="E524" s="71"/>
      <c r="F524" s="67"/>
      <c r="G524" s="67"/>
      <c r="H524" s="67"/>
      <c r="I524" s="67"/>
      <c r="J524" s="67"/>
      <c r="K524" s="68"/>
      <c r="L524" s="69"/>
      <c r="M524" s="70"/>
      <c r="N524" s="71"/>
      <c r="O524" s="85"/>
    </row>
    <row r="525" spans="1:15" ht="30" customHeight="1">
      <c r="A525" s="76"/>
      <c r="B525" s="65"/>
      <c r="C525" s="65"/>
      <c r="D525" s="65"/>
      <c r="E525" s="71"/>
      <c r="F525" s="67"/>
      <c r="G525" s="67"/>
      <c r="H525" s="67"/>
      <c r="I525" s="67"/>
      <c r="J525" s="67"/>
      <c r="K525" s="68"/>
      <c r="L525" s="69"/>
      <c r="M525" s="70"/>
      <c r="N525" s="71"/>
      <c r="O525" s="85"/>
    </row>
    <row r="526" spans="1:15" ht="30" customHeight="1">
      <c r="A526" s="76"/>
      <c r="B526" s="65"/>
      <c r="C526" s="65"/>
      <c r="D526" s="65"/>
      <c r="E526" s="71"/>
      <c r="F526" s="67"/>
      <c r="G526" s="67"/>
      <c r="H526" s="67"/>
      <c r="I526" s="67"/>
      <c r="J526" s="67"/>
      <c r="K526" s="68"/>
      <c r="L526" s="69"/>
      <c r="M526" s="70"/>
      <c r="N526" s="71"/>
      <c r="O526" s="85"/>
    </row>
    <row r="527" spans="1:15" ht="30" customHeight="1">
      <c r="A527" s="76"/>
      <c r="B527" s="65"/>
      <c r="C527" s="65"/>
      <c r="D527" s="65"/>
      <c r="E527" s="71"/>
      <c r="F527" s="67"/>
      <c r="G527" s="67"/>
      <c r="H527" s="67"/>
      <c r="I527" s="67"/>
      <c r="J527" s="67"/>
      <c r="K527" s="68"/>
      <c r="L527" s="69"/>
      <c r="M527" s="70"/>
      <c r="N527" s="71"/>
      <c r="O527" s="85"/>
    </row>
    <row r="528" spans="1:15" ht="30" customHeight="1">
      <c r="A528" s="76"/>
      <c r="B528" s="65"/>
      <c r="C528" s="65"/>
      <c r="D528" s="65"/>
      <c r="E528" s="71"/>
      <c r="F528" s="67"/>
      <c r="G528" s="67"/>
      <c r="H528" s="67"/>
      <c r="I528" s="67"/>
      <c r="J528" s="67"/>
      <c r="K528" s="68"/>
      <c r="L528" s="69"/>
      <c r="M528" s="70"/>
      <c r="N528" s="71"/>
      <c r="O528" s="85"/>
    </row>
    <row r="529" spans="1:15" ht="30" customHeight="1">
      <c r="A529" s="76"/>
      <c r="B529" s="65"/>
      <c r="C529" s="65"/>
      <c r="D529" s="65"/>
      <c r="E529" s="71"/>
      <c r="F529" s="67"/>
      <c r="G529" s="67"/>
      <c r="H529" s="67"/>
      <c r="I529" s="67"/>
      <c r="J529" s="67"/>
      <c r="K529" s="68"/>
      <c r="L529" s="69"/>
      <c r="M529" s="70"/>
      <c r="N529" s="71"/>
      <c r="O529" s="85"/>
    </row>
    <row r="530" spans="1:15" ht="30" customHeight="1">
      <c r="A530" s="76"/>
      <c r="B530" s="65"/>
      <c r="C530" s="65"/>
      <c r="D530" s="65"/>
      <c r="E530" s="71"/>
      <c r="F530" s="67"/>
      <c r="G530" s="67"/>
      <c r="H530" s="67"/>
      <c r="I530" s="67"/>
      <c r="J530" s="67"/>
      <c r="K530" s="68"/>
      <c r="L530" s="69"/>
      <c r="M530" s="70"/>
      <c r="N530" s="71"/>
      <c r="O530" s="85"/>
    </row>
    <row r="531" spans="1:15" ht="30" customHeight="1">
      <c r="A531" s="76"/>
      <c r="B531" s="65"/>
      <c r="C531" s="65"/>
      <c r="D531" s="65"/>
      <c r="E531" s="71"/>
      <c r="F531" s="67"/>
      <c r="G531" s="67"/>
      <c r="H531" s="67"/>
      <c r="I531" s="67"/>
      <c r="J531" s="67"/>
      <c r="K531" s="68"/>
      <c r="L531" s="69"/>
      <c r="M531" s="70"/>
      <c r="N531" s="71"/>
      <c r="O531" s="85"/>
    </row>
    <row r="532" spans="1:15" ht="30" customHeight="1">
      <c r="A532" s="76"/>
      <c r="B532" s="65"/>
      <c r="C532" s="65"/>
      <c r="D532" s="65"/>
      <c r="E532" s="71"/>
      <c r="F532" s="67"/>
      <c r="G532" s="67"/>
      <c r="H532" s="67"/>
      <c r="I532" s="67"/>
      <c r="J532" s="67"/>
      <c r="K532" s="68"/>
      <c r="L532" s="69"/>
      <c r="M532" s="70"/>
      <c r="N532" s="71"/>
      <c r="O532" s="85"/>
    </row>
    <row r="533" spans="1:15" ht="30" customHeight="1">
      <c r="A533" s="76"/>
      <c r="B533" s="65"/>
      <c r="C533" s="65"/>
      <c r="D533" s="65"/>
      <c r="E533" s="71"/>
      <c r="F533" s="67"/>
      <c r="G533" s="67"/>
      <c r="H533" s="67"/>
      <c r="I533" s="67"/>
      <c r="J533" s="67"/>
      <c r="K533" s="68"/>
      <c r="L533" s="69"/>
      <c r="M533" s="70"/>
      <c r="N533" s="71"/>
      <c r="O533" s="85"/>
    </row>
    <row r="534" spans="1:15" ht="30" customHeight="1">
      <c r="A534" s="76"/>
      <c r="B534" s="65"/>
      <c r="C534" s="65"/>
      <c r="D534" s="65"/>
      <c r="E534" s="71"/>
      <c r="F534" s="67"/>
      <c r="G534" s="67"/>
      <c r="H534" s="67"/>
      <c r="I534" s="67"/>
      <c r="J534" s="67"/>
      <c r="K534" s="68"/>
      <c r="L534" s="69"/>
      <c r="M534" s="70"/>
      <c r="N534" s="71"/>
      <c r="O534" s="85"/>
    </row>
    <row r="535" spans="1:15" ht="30" customHeight="1">
      <c r="A535" s="76"/>
      <c r="B535" s="65"/>
      <c r="C535" s="65"/>
      <c r="D535" s="65"/>
      <c r="E535" s="71"/>
      <c r="F535" s="67"/>
      <c r="G535" s="67"/>
      <c r="H535" s="67"/>
      <c r="I535" s="67"/>
      <c r="J535" s="67"/>
      <c r="K535" s="68"/>
      <c r="L535" s="69"/>
      <c r="M535" s="70"/>
      <c r="N535" s="71"/>
      <c r="O535" s="85"/>
    </row>
    <row r="536" spans="1:15" ht="30" customHeight="1">
      <c r="A536" s="76"/>
      <c r="B536" s="65"/>
      <c r="C536" s="65"/>
      <c r="D536" s="65"/>
      <c r="E536" s="71"/>
      <c r="F536" s="67"/>
      <c r="G536" s="67"/>
      <c r="H536" s="67"/>
      <c r="I536" s="67"/>
      <c r="J536" s="67"/>
      <c r="K536" s="68"/>
      <c r="L536" s="69"/>
      <c r="M536" s="70"/>
      <c r="N536" s="71"/>
      <c r="O536" s="85"/>
    </row>
    <row r="537" spans="1:15" ht="30" customHeight="1">
      <c r="A537" s="76"/>
      <c r="B537" s="65"/>
      <c r="C537" s="65"/>
      <c r="D537" s="65"/>
      <c r="E537" s="71"/>
      <c r="F537" s="67"/>
      <c r="G537" s="67"/>
      <c r="H537" s="67"/>
      <c r="I537" s="67"/>
      <c r="J537" s="67"/>
      <c r="K537" s="68"/>
      <c r="L537" s="69"/>
      <c r="M537" s="70"/>
      <c r="N537" s="71"/>
      <c r="O537" s="85"/>
    </row>
    <row r="538" spans="1:15" ht="30" customHeight="1">
      <c r="A538" s="76"/>
      <c r="B538" s="65"/>
      <c r="C538" s="65"/>
      <c r="D538" s="65"/>
      <c r="E538" s="71"/>
      <c r="F538" s="67"/>
      <c r="G538" s="67"/>
      <c r="H538" s="67"/>
      <c r="I538" s="67"/>
      <c r="J538" s="67"/>
      <c r="K538" s="68"/>
      <c r="L538" s="69"/>
      <c r="M538" s="70"/>
      <c r="N538" s="71"/>
      <c r="O538" s="85"/>
    </row>
    <row r="539" spans="1:15" ht="30" customHeight="1">
      <c r="A539" s="76"/>
      <c r="B539" s="65"/>
      <c r="C539" s="65"/>
      <c r="D539" s="65"/>
      <c r="E539" s="71"/>
      <c r="F539" s="67"/>
      <c r="G539" s="67"/>
      <c r="H539" s="67"/>
      <c r="I539" s="67"/>
      <c r="J539" s="67"/>
      <c r="K539" s="68"/>
      <c r="L539" s="69"/>
      <c r="M539" s="70"/>
      <c r="N539" s="71"/>
      <c r="O539" s="85"/>
    </row>
    <row r="540" spans="1:15" ht="30" customHeight="1">
      <c r="A540" s="76"/>
      <c r="B540" s="65"/>
      <c r="C540" s="65"/>
      <c r="D540" s="65"/>
      <c r="E540" s="71"/>
      <c r="F540" s="67"/>
      <c r="G540" s="67"/>
      <c r="H540" s="67"/>
      <c r="I540" s="67"/>
      <c r="J540" s="67"/>
      <c r="K540" s="68"/>
      <c r="L540" s="69"/>
      <c r="M540" s="70"/>
      <c r="N540" s="71"/>
      <c r="O540" s="85"/>
    </row>
    <row r="541" spans="1:15" ht="30" customHeight="1">
      <c r="A541" s="76"/>
      <c r="B541" s="65"/>
      <c r="C541" s="65"/>
      <c r="D541" s="65"/>
      <c r="E541" s="71"/>
      <c r="F541" s="67"/>
      <c r="G541" s="67"/>
      <c r="H541" s="67"/>
      <c r="I541" s="67"/>
      <c r="J541" s="67"/>
      <c r="K541" s="68"/>
      <c r="L541" s="69"/>
      <c r="M541" s="70"/>
      <c r="N541" s="71"/>
      <c r="O541" s="85"/>
    </row>
    <row r="542" spans="1:15" ht="30" customHeight="1">
      <c r="A542" s="76"/>
      <c r="B542" s="65"/>
      <c r="C542" s="65"/>
      <c r="D542" s="65"/>
      <c r="E542" s="71"/>
      <c r="F542" s="67"/>
      <c r="G542" s="67"/>
      <c r="H542" s="67"/>
      <c r="I542" s="67"/>
      <c r="J542" s="67"/>
      <c r="K542" s="68"/>
      <c r="L542" s="69"/>
      <c r="M542" s="70"/>
      <c r="N542" s="71"/>
      <c r="O542" s="85"/>
    </row>
    <row r="543" spans="1:15" ht="30" customHeight="1">
      <c r="A543" s="76"/>
      <c r="B543" s="65"/>
      <c r="C543" s="65"/>
      <c r="D543" s="65"/>
      <c r="E543" s="71"/>
      <c r="F543" s="67"/>
      <c r="G543" s="67"/>
      <c r="H543" s="67"/>
      <c r="I543" s="67"/>
      <c r="J543" s="67"/>
      <c r="K543" s="68"/>
      <c r="L543" s="69"/>
      <c r="M543" s="70"/>
      <c r="N543" s="71"/>
      <c r="O543" s="85"/>
    </row>
    <row r="544" spans="1:15" ht="30" customHeight="1">
      <c r="A544" s="76"/>
      <c r="B544" s="65"/>
      <c r="C544" s="65"/>
      <c r="D544" s="65"/>
      <c r="E544" s="71"/>
      <c r="F544" s="67"/>
      <c r="G544" s="67"/>
      <c r="H544" s="67"/>
      <c r="I544" s="67"/>
      <c r="J544" s="67"/>
      <c r="K544" s="68"/>
      <c r="L544" s="69"/>
      <c r="M544" s="70"/>
      <c r="N544" s="71"/>
      <c r="O544" s="85"/>
    </row>
    <row r="545" spans="1:15" ht="30" customHeight="1">
      <c r="A545" s="76"/>
      <c r="B545" s="65"/>
      <c r="C545" s="65"/>
      <c r="D545" s="65"/>
      <c r="E545" s="71"/>
      <c r="F545" s="67"/>
      <c r="G545" s="67"/>
      <c r="H545" s="67"/>
      <c r="I545" s="67"/>
      <c r="J545" s="67"/>
      <c r="K545" s="68"/>
      <c r="L545" s="69"/>
      <c r="M545" s="70"/>
      <c r="N545" s="71"/>
      <c r="O545" s="85"/>
    </row>
    <row r="546" spans="1:15" ht="30" customHeight="1">
      <c r="A546" s="76"/>
      <c r="B546" s="65"/>
      <c r="C546" s="65"/>
      <c r="D546" s="65"/>
      <c r="E546" s="71"/>
      <c r="F546" s="67"/>
      <c r="G546" s="67"/>
      <c r="H546" s="67"/>
      <c r="I546" s="67"/>
      <c r="J546" s="67"/>
      <c r="K546" s="68"/>
      <c r="L546" s="69"/>
      <c r="M546" s="70"/>
      <c r="N546" s="71"/>
      <c r="O546" s="85"/>
    </row>
    <row r="547" spans="1:15" ht="30" customHeight="1">
      <c r="A547" s="76"/>
      <c r="B547" s="65"/>
      <c r="C547" s="65"/>
      <c r="D547" s="65"/>
      <c r="E547" s="71"/>
      <c r="F547" s="67"/>
      <c r="G547" s="67"/>
      <c r="H547" s="67"/>
      <c r="I547" s="67"/>
      <c r="J547" s="67"/>
      <c r="K547" s="68"/>
      <c r="L547" s="69"/>
      <c r="M547" s="70"/>
      <c r="N547" s="71"/>
      <c r="O547" s="85"/>
    </row>
    <row r="548" spans="1:15" ht="30" customHeight="1">
      <c r="A548" s="76"/>
      <c r="B548" s="65"/>
      <c r="C548" s="65"/>
      <c r="D548" s="65"/>
      <c r="E548" s="71"/>
      <c r="F548" s="67"/>
      <c r="G548" s="67"/>
      <c r="H548" s="67"/>
      <c r="I548" s="67"/>
      <c r="J548" s="67"/>
      <c r="K548" s="68"/>
      <c r="L548" s="69"/>
      <c r="M548" s="70"/>
      <c r="N548" s="71"/>
      <c r="O548" s="85"/>
    </row>
    <row r="549" spans="1:15" ht="30" customHeight="1">
      <c r="A549" s="76"/>
      <c r="B549" s="65"/>
      <c r="C549" s="65"/>
      <c r="D549" s="65"/>
      <c r="E549" s="71"/>
      <c r="F549" s="67"/>
      <c r="G549" s="67"/>
      <c r="H549" s="67"/>
      <c r="I549" s="67"/>
      <c r="J549" s="67"/>
      <c r="K549" s="68"/>
      <c r="L549" s="69"/>
      <c r="M549" s="70"/>
      <c r="N549" s="71"/>
      <c r="O549" s="85"/>
    </row>
    <row r="550" spans="1:15" ht="30" customHeight="1">
      <c r="A550" s="76"/>
      <c r="B550" s="65"/>
      <c r="C550" s="65"/>
      <c r="D550" s="65"/>
      <c r="E550" s="71"/>
      <c r="F550" s="67"/>
      <c r="G550" s="67"/>
      <c r="H550" s="67"/>
      <c r="I550" s="67"/>
      <c r="J550" s="67"/>
      <c r="K550" s="68"/>
      <c r="L550" s="69"/>
      <c r="M550" s="70"/>
      <c r="N550" s="71"/>
      <c r="O550" s="85"/>
    </row>
    <row r="551" spans="1:15" ht="30" customHeight="1">
      <c r="A551" s="76"/>
      <c r="B551" s="65"/>
      <c r="C551" s="65"/>
      <c r="D551" s="65"/>
      <c r="E551" s="71"/>
      <c r="F551" s="67"/>
      <c r="G551" s="67"/>
      <c r="H551" s="67"/>
      <c r="I551" s="67"/>
      <c r="J551" s="67"/>
      <c r="K551" s="68"/>
      <c r="L551" s="69"/>
      <c r="M551" s="70"/>
      <c r="N551" s="71"/>
      <c r="O551" s="85"/>
    </row>
    <row r="552" spans="1:15" ht="30" customHeight="1">
      <c r="A552" s="76"/>
      <c r="B552" s="65"/>
      <c r="C552" s="65"/>
      <c r="D552" s="65"/>
      <c r="E552" s="71"/>
      <c r="F552" s="67"/>
      <c r="G552" s="67"/>
      <c r="H552" s="67"/>
      <c r="I552" s="67"/>
      <c r="J552" s="67"/>
      <c r="K552" s="68"/>
      <c r="L552" s="69"/>
      <c r="M552" s="70"/>
      <c r="N552" s="71"/>
      <c r="O552" s="85"/>
    </row>
    <row r="553" spans="1:15" ht="30" customHeight="1">
      <c r="A553" s="76"/>
      <c r="B553" s="65"/>
      <c r="C553" s="65"/>
      <c r="D553" s="65"/>
      <c r="E553" s="71"/>
      <c r="F553" s="67"/>
      <c r="G553" s="67"/>
      <c r="H553" s="67"/>
      <c r="I553" s="67"/>
      <c r="J553" s="67"/>
      <c r="K553" s="68"/>
      <c r="L553" s="69"/>
      <c r="M553" s="70"/>
      <c r="N553" s="71"/>
      <c r="O553" s="85"/>
    </row>
    <row r="554" spans="1:15" ht="30" customHeight="1">
      <c r="A554" s="76"/>
      <c r="B554" s="65"/>
      <c r="C554" s="65"/>
      <c r="D554" s="65"/>
      <c r="E554" s="71"/>
      <c r="F554" s="67"/>
      <c r="G554" s="67"/>
      <c r="H554" s="67"/>
      <c r="I554" s="67"/>
      <c r="J554" s="67"/>
      <c r="K554" s="68"/>
      <c r="L554" s="69"/>
      <c r="M554" s="70"/>
      <c r="N554" s="71"/>
      <c r="O554" s="85"/>
    </row>
    <row r="555" spans="1:15" ht="30" customHeight="1">
      <c r="A555" s="76"/>
      <c r="B555" s="65"/>
      <c r="C555" s="65"/>
      <c r="D555" s="65"/>
      <c r="E555" s="71"/>
      <c r="F555" s="67"/>
      <c r="G555" s="67"/>
      <c r="H555" s="67"/>
      <c r="I555" s="67"/>
      <c r="J555" s="67"/>
      <c r="K555" s="68"/>
      <c r="L555" s="69"/>
      <c r="M555" s="70"/>
      <c r="N555" s="71"/>
      <c r="O555" s="85"/>
    </row>
    <row r="556" spans="1:15" ht="30" customHeight="1">
      <c r="A556" s="76"/>
      <c r="B556" s="65"/>
      <c r="C556" s="65"/>
      <c r="D556" s="65"/>
      <c r="E556" s="71"/>
      <c r="F556" s="67"/>
      <c r="G556" s="67"/>
      <c r="H556" s="67"/>
      <c r="I556" s="67"/>
      <c r="J556" s="67"/>
      <c r="K556" s="68"/>
      <c r="L556" s="69"/>
      <c r="M556" s="70"/>
      <c r="N556" s="71"/>
      <c r="O556" s="85"/>
    </row>
    <row r="557" spans="1:15" ht="30" customHeight="1">
      <c r="A557" s="76"/>
      <c r="B557" s="65"/>
      <c r="C557" s="65"/>
      <c r="D557" s="65"/>
      <c r="E557" s="71"/>
      <c r="F557" s="67"/>
      <c r="G557" s="67"/>
      <c r="H557" s="67"/>
      <c r="I557" s="67"/>
      <c r="J557" s="67"/>
      <c r="K557" s="68"/>
      <c r="L557" s="69"/>
      <c r="M557" s="70"/>
      <c r="N557" s="71"/>
      <c r="O557" s="85"/>
    </row>
    <row r="558" spans="1:15" ht="30" customHeight="1">
      <c r="A558" s="76"/>
      <c r="B558" s="65"/>
      <c r="C558" s="65"/>
      <c r="D558" s="65"/>
      <c r="E558" s="71"/>
      <c r="F558" s="67"/>
      <c r="G558" s="67"/>
      <c r="H558" s="67"/>
      <c r="I558" s="67"/>
      <c r="J558" s="67"/>
      <c r="K558" s="68"/>
      <c r="L558" s="69"/>
      <c r="M558" s="70"/>
      <c r="N558" s="71"/>
      <c r="O558" s="85"/>
    </row>
    <row r="559" spans="1:15" ht="30" customHeight="1">
      <c r="A559" s="76"/>
      <c r="B559" s="65"/>
      <c r="C559" s="65"/>
      <c r="D559" s="65"/>
      <c r="E559" s="71"/>
      <c r="F559" s="67"/>
      <c r="G559" s="67"/>
      <c r="H559" s="67"/>
      <c r="I559" s="67"/>
      <c r="J559" s="67"/>
      <c r="K559" s="68"/>
      <c r="L559" s="69"/>
      <c r="M559" s="70"/>
      <c r="N559" s="71"/>
      <c r="O559" s="85"/>
    </row>
    <row r="560" spans="1:15" ht="30" customHeight="1">
      <c r="A560" s="76"/>
      <c r="B560" s="65"/>
      <c r="C560" s="65"/>
      <c r="D560" s="65"/>
      <c r="E560" s="71"/>
      <c r="F560" s="67"/>
      <c r="G560" s="67"/>
      <c r="H560" s="67"/>
      <c r="I560" s="67"/>
      <c r="J560" s="67"/>
      <c r="K560" s="68"/>
      <c r="L560" s="69"/>
      <c r="M560" s="70"/>
      <c r="N560" s="71"/>
      <c r="O560" s="85"/>
    </row>
    <row r="561" spans="1:15" ht="30" customHeight="1">
      <c r="A561" s="76"/>
      <c r="B561" s="65"/>
      <c r="C561" s="65"/>
      <c r="D561" s="65"/>
      <c r="E561" s="71"/>
      <c r="F561" s="67"/>
      <c r="G561" s="67"/>
      <c r="H561" s="67"/>
      <c r="I561" s="67"/>
      <c r="J561" s="67"/>
      <c r="K561" s="68"/>
      <c r="L561" s="69"/>
      <c r="M561" s="70"/>
      <c r="N561" s="71"/>
      <c r="O561" s="85"/>
    </row>
    <row r="562" spans="1:15" ht="30" customHeight="1">
      <c r="A562" s="76"/>
      <c r="B562" s="65"/>
      <c r="C562" s="65"/>
      <c r="D562" s="65"/>
      <c r="E562" s="71"/>
      <c r="F562" s="67"/>
      <c r="G562" s="67"/>
      <c r="H562" s="67"/>
      <c r="I562" s="67"/>
      <c r="J562" s="67"/>
      <c r="K562" s="68"/>
      <c r="L562" s="69"/>
      <c r="M562" s="70"/>
      <c r="N562" s="71"/>
      <c r="O562" s="85"/>
    </row>
    <row r="563" spans="1:15" ht="30" customHeight="1">
      <c r="A563" s="76"/>
      <c r="B563" s="65"/>
      <c r="C563" s="65"/>
      <c r="D563" s="65"/>
      <c r="E563" s="71"/>
      <c r="F563" s="67"/>
      <c r="G563" s="67"/>
      <c r="H563" s="67"/>
      <c r="I563" s="67"/>
      <c r="J563" s="67"/>
      <c r="K563" s="68"/>
      <c r="L563" s="69"/>
      <c r="M563" s="70"/>
      <c r="N563" s="71"/>
      <c r="O563" s="85"/>
    </row>
    <row r="564" spans="1:15" ht="30" customHeight="1">
      <c r="A564" s="76"/>
      <c r="B564" s="65"/>
      <c r="C564" s="65"/>
      <c r="D564" s="65"/>
      <c r="E564" s="71"/>
      <c r="F564" s="67"/>
      <c r="G564" s="67"/>
      <c r="H564" s="67"/>
      <c r="I564" s="67"/>
      <c r="J564" s="67"/>
      <c r="K564" s="68"/>
      <c r="L564" s="69"/>
      <c r="M564" s="70"/>
      <c r="N564" s="71"/>
      <c r="O564" s="85"/>
    </row>
    <row r="565" spans="1:15" ht="30" customHeight="1">
      <c r="A565" s="76"/>
      <c r="B565" s="65"/>
      <c r="C565" s="65"/>
      <c r="D565" s="65"/>
      <c r="E565" s="71"/>
      <c r="F565" s="67"/>
      <c r="G565" s="67"/>
      <c r="H565" s="67"/>
      <c r="I565" s="67"/>
      <c r="J565" s="67"/>
      <c r="K565" s="68"/>
      <c r="L565" s="69"/>
      <c r="M565" s="70"/>
      <c r="N565" s="71"/>
      <c r="O565" s="85"/>
    </row>
    <row r="566" spans="1:15" ht="30" customHeight="1">
      <c r="A566" s="76"/>
      <c r="B566" s="65"/>
      <c r="C566" s="65"/>
      <c r="D566" s="65"/>
      <c r="E566" s="71"/>
      <c r="F566" s="67"/>
      <c r="G566" s="67"/>
      <c r="H566" s="67"/>
      <c r="I566" s="67"/>
      <c r="J566" s="67"/>
      <c r="K566" s="68"/>
      <c r="L566" s="69"/>
      <c r="M566" s="70"/>
      <c r="N566" s="71"/>
      <c r="O566" s="85"/>
    </row>
    <row r="567" spans="1:15" ht="30" customHeight="1">
      <c r="A567" s="76"/>
      <c r="B567" s="65"/>
      <c r="C567" s="65"/>
      <c r="D567" s="65"/>
      <c r="E567" s="71"/>
      <c r="F567" s="67"/>
      <c r="G567" s="67"/>
      <c r="H567" s="67"/>
      <c r="I567" s="67"/>
      <c r="J567" s="67"/>
      <c r="K567" s="68"/>
      <c r="L567" s="69"/>
      <c r="M567" s="70"/>
      <c r="N567" s="71"/>
      <c r="O567" s="85"/>
    </row>
    <row r="568" spans="1:15" ht="30" customHeight="1">
      <c r="A568" s="76"/>
      <c r="B568" s="65"/>
      <c r="C568" s="65"/>
      <c r="D568" s="65"/>
      <c r="E568" s="71"/>
      <c r="F568" s="67"/>
      <c r="G568" s="67"/>
      <c r="H568" s="67"/>
      <c r="I568" s="67"/>
      <c r="J568" s="67"/>
      <c r="K568" s="68"/>
      <c r="L568" s="69"/>
      <c r="M568" s="70"/>
      <c r="N568" s="71"/>
      <c r="O568" s="85"/>
    </row>
    <row r="569" spans="1:15" ht="30" customHeight="1">
      <c r="A569" s="76"/>
      <c r="B569" s="65"/>
      <c r="C569" s="65"/>
      <c r="D569" s="65"/>
      <c r="E569" s="71"/>
      <c r="F569" s="67"/>
      <c r="G569" s="67"/>
      <c r="H569" s="67"/>
      <c r="I569" s="67"/>
      <c r="J569" s="67"/>
      <c r="K569" s="68"/>
      <c r="L569" s="69"/>
      <c r="M569" s="70"/>
      <c r="N569" s="71"/>
      <c r="O569" s="85"/>
    </row>
    <row r="570" spans="1:15" ht="30" customHeight="1">
      <c r="A570" s="76"/>
      <c r="B570" s="65"/>
      <c r="C570" s="65"/>
      <c r="D570" s="65"/>
      <c r="E570" s="71"/>
      <c r="F570" s="67"/>
      <c r="G570" s="67"/>
      <c r="H570" s="67"/>
      <c r="I570" s="67"/>
      <c r="J570" s="67"/>
      <c r="K570" s="68"/>
      <c r="L570" s="69"/>
      <c r="M570" s="70"/>
      <c r="N570" s="71"/>
      <c r="O570" s="85"/>
    </row>
    <row r="571" spans="1:15" ht="30" customHeight="1">
      <c r="A571" s="76"/>
      <c r="B571" s="65"/>
      <c r="C571" s="65"/>
      <c r="D571" s="65"/>
      <c r="E571" s="71"/>
      <c r="F571" s="67"/>
      <c r="G571" s="67"/>
      <c r="H571" s="67"/>
      <c r="I571" s="67"/>
      <c r="J571" s="67"/>
      <c r="K571" s="68"/>
      <c r="L571" s="69"/>
      <c r="M571" s="70"/>
      <c r="N571" s="71"/>
      <c r="O571" s="85"/>
    </row>
    <row r="572" spans="1:15" ht="30" customHeight="1">
      <c r="A572" s="76"/>
      <c r="B572" s="65"/>
      <c r="C572" s="65"/>
      <c r="D572" s="65"/>
      <c r="E572" s="71"/>
      <c r="F572" s="67"/>
      <c r="G572" s="67"/>
      <c r="H572" s="67"/>
      <c r="I572" s="67"/>
      <c r="J572" s="67"/>
      <c r="K572" s="68"/>
      <c r="L572" s="69"/>
      <c r="M572" s="70"/>
      <c r="N572" s="71"/>
      <c r="O572" s="85"/>
    </row>
    <row r="573" spans="1:15" ht="30" customHeight="1">
      <c r="A573" s="76"/>
      <c r="B573" s="65"/>
      <c r="C573" s="65"/>
      <c r="D573" s="65"/>
      <c r="E573" s="71"/>
      <c r="F573" s="67"/>
      <c r="G573" s="67"/>
      <c r="H573" s="67"/>
      <c r="I573" s="67"/>
      <c r="J573" s="67"/>
      <c r="K573" s="68"/>
      <c r="L573" s="69"/>
      <c r="M573" s="70"/>
      <c r="N573" s="71"/>
      <c r="O573" s="85"/>
    </row>
    <row r="574" spans="1:15" ht="30" customHeight="1">
      <c r="A574" s="76"/>
      <c r="B574" s="65"/>
      <c r="C574" s="65"/>
      <c r="D574" s="65"/>
      <c r="E574" s="71"/>
      <c r="F574" s="67"/>
      <c r="G574" s="67"/>
      <c r="H574" s="67"/>
      <c r="I574" s="67"/>
      <c r="J574" s="67"/>
      <c r="K574" s="68"/>
      <c r="L574" s="69"/>
      <c r="M574" s="70"/>
      <c r="N574" s="71"/>
      <c r="O574" s="85"/>
    </row>
    <row r="575" spans="1:15" ht="30" customHeight="1">
      <c r="A575" s="76"/>
      <c r="B575" s="65"/>
      <c r="C575" s="65"/>
      <c r="D575" s="65"/>
      <c r="E575" s="71"/>
      <c r="F575" s="67"/>
      <c r="G575" s="67"/>
      <c r="H575" s="67"/>
      <c r="I575" s="67"/>
      <c r="J575" s="67"/>
      <c r="K575" s="68"/>
      <c r="L575" s="69"/>
      <c r="M575" s="70"/>
      <c r="N575" s="71"/>
      <c r="O575" s="85"/>
    </row>
    <row r="576" spans="1:15" ht="30" customHeight="1">
      <c r="A576" s="76"/>
      <c r="B576" s="65"/>
      <c r="C576" s="65"/>
      <c r="D576" s="65"/>
      <c r="E576" s="71"/>
      <c r="F576" s="67"/>
      <c r="G576" s="67"/>
      <c r="H576" s="67"/>
      <c r="I576" s="67"/>
      <c r="J576" s="67"/>
      <c r="K576" s="68"/>
      <c r="L576" s="69"/>
      <c r="M576" s="70"/>
      <c r="N576" s="71"/>
      <c r="O576" s="85"/>
    </row>
    <row r="577" spans="1:15" ht="30" customHeight="1">
      <c r="A577" s="76"/>
      <c r="B577" s="65"/>
      <c r="C577" s="65"/>
      <c r="D577" s="65"/>
      <c r="E577" s="71"/>
      <c r="F577" s="67"/>
      <c r="G577" s="67"/>
      <c r="H577" s="67"/>
      <c r="I577" s="67"/>
      <c r="J577" s="67"/>
      <c r="K577" s="68"/>
      <c r="L577" s="69"/>
      <c r="M577" s="70"/>
      <c r="N577" s="71"/>
      <c r="O577" s="85"/>
    </row>
    <row r="578" spans="1:15" ht="30" customHeight="1">
      <c r="A578" s="76"/>
      <c r="B578" s="65"/>
      <c r="C578" s="65"/>
      <c r="D578" s="65"/>
      <c r="E578" s="71"/>
      <c r="F578" s="67"/>
      <c r="G578" s="67"/>
      <c r="H578" s="67"/>
      <c r="I578" s="67"/>
      <c r="J578" s="67"/>
      <c r="K578" s="68"/>
      <c r="L578" s="69"/>
      <c r="M578" s="70"/>
      <c r="N578" s="71"/>
      <c r="O578" s="85"/>
    </row>
    <row r="579" spans="1:15" ht="30" customHeight="1">
      <c r="A579" s="76"/>
      <c r="B579" s="65"/>
      <c r="C579" s="65"/>
      <c r="D579" s="65"/>
      <c r="E579" s="71"/>
      <c r="F579" s="67"/>
      <c r="G579" s="67"/>
      <c r="H579" s="67"/>
      <c r="I579" s="67"/>
      <c r="J579" s="67"/>
      <c r="K579" s="68"/>
      <c r="L579" s="69"/>
      <c r="M579" s="70"/>
      <c r="N579" s="71"/>
      <c r="O579" s="85"/>
    </row>
    <row r="580" spans="1:15" ht="30" customHeight="1">
      <c r="A580" s="76"/>
      <c r="B580" s="65"/>
      <c r="C580" s="65"/>
      <c r="D580" s="65"/>
      <c r="E580" s="71"/>
      <c r="F580" s="67"/>
      <c r="G580" s="67"/>
      <c r="H580" s="67"/>
      <c r="I580" s="67"/>
      <c r="J580" s="67"/>
      <c r="K580" s="68"/>
      <c r="L580" s="69"/>
      <c r="M580" s="70"/>
      <c r="N580" s="71"/>
      <c r="O580" s="85"/>
    </row>
    <row r="581" spans="1:15" ht="30" customHeight="1">
      <c r="A581" s="76"/>
      <c r="B581" s="65"/>
      <c r="C581" s="65"/>
      <c r="D581" s="65"/>
      <c r="E581" s="71"/>
      <c r="F581" s="67"/>
      <c r="G581" s="67"/>
      <c r="H581" s="67"/>
      <c r="I581" s="67"/>
      <c r="J581" s="67"/>
      <c r="K581" s="68"/>
      <c r="L581" s="69"/>
      <c r="M581" s="70"/>
      <c r="N581" s="71"/>
      <c r="O581" s="85"/>
    </row>
    <row r="582" spans="1:15" ht="30" customHeight="1">
      <c r="A582" s="76"/>
      <c r="B582" s="65"/>
      <c r="C582" s="65"/>
      <c r="D582" s="65"/>
      <c r="E582" s="71"/>
      <c r="F582" s="67"/>
      <c r="G582" s="67"/>
      <c r="H582" s="67"/>
      <c r="I582" s="67"/>
      <c r="J582" s="67"/>
      <c r="K582" s="68"/>
      <c r="L582" s="69"/>
      <c r="M582" s="70"/>
      <c r="N582" s="71"/>
      <c r="O582" s="85"/>
    </row>
    <row r="583" spans="1:15" ht="30" customHeight="1">
      <c r="A583" s="76"/>
      <c r="B583" s="65"/>
      <c r="C583" s="65"/>
      <c r="D583" s="65"/>
      <c r="E583" s="71"/>
      <c r="F583" s="67"/>
      <c r="G583" s="67"/>
      <c r="H583" s="67"/>
      <c r="I583" s="67"/>
      <c r="J583" s="67"/>
      <c r="K583" s="68"/>
      <c r="L583" s="69"/>
      <c r="M583" s="70"/>
      <c r="N583" s="71"/>
      <c r="O583" s="85"/>
    </row>
    <row r="584" spans="1:15" ht="30" customHeight="1">
      <c r="A584" s="76"/>
      <c r="B584" s="65"/>
      <c r="C584" s="65"/>
      <c r="D584" s="65"/>
      <c r="E584" s="71"/>
      <c r="F584" s="67"/>
      <c r="G584" s="67"/>
      <c r="H584" s="67"/>
      <c r="I584" s="67"/>
      <c r="J584" s="67"/>
      <c r="K584" s="68"/>
      <c r="L584" s="69"/>
      <c r="M584" s="70"/>
      <c r="N584" s="71"/>
      <c r="O584" s="85"/>
    </row>
    <row r="585" spans="1:15" ht="30" customHeight="1">
      <c r="A585" s="76"/>
      <c r="B585" s="65"/>
      <c r="C585" s="65"/>
      <c r="D585" s="65"/>
      <c r="E585" s="71"/>
      <c r="F585" s="67"/>
      <c r="G585" s="67"/>
      <c r="H585" s="67"/>
      <c r="I585" s="67"/>
      <c r="J585" s="67"/>
      <c r="K585" s="68"/>
      <c r="L585" s="69"/>
      <c r="M585" s="70"/>
      <c r="N585" s="71"/>
      <c r="O585" s="85"/>
    </row>
    <row r="586" spans="1:15" ht="30" customHeight="1">
      <c r="A586" s="76"/>
      <c r="B586" s="65"/>
      <c r="C586" s="65"/>
      <c r="D586" s="65"/>
      <c r="E586" s="71"/>
      <c r="F586" s="67"/>
      <c r="G586" s="67"/>
      <c r="H586" s="67"/>
      <c r="I586" s="67"/>
      <c r="J586" s="67"/>
      <c r="K586" s="68"/>
      <c r="L586" s="69"/>
      <c r="M586" s="70"/>
      <c r="N586" s="71"/>
      <c r="O586" s="85"/>
    </row>
    <row r="587" spans="1:15" ht="30" customHeight="1">
      <c r="A587" s="76"/>
      <c r="B587" s="65"/>
      <c r="C587" s="65"/>
      <c r="D587" s="65"/>
      <c r="E587" s="71"/>
      <c r="F587" s="67"/>
      <c r="G587" s="67"/>
      <c r="H587" s="67"/>
      <c r="I587" s="67"/>
      <c r="J587" s="67"/>
      <c r="K587" s="68"/>
      <c r="L587" s="69"/>
      <c r="M587" s="70"/>
      <c r="N587" s="71"/>
      <c r="O587" s="85"/>
    </row>
    <row r="588" spans="1:15" ht="30" customHeight="1">
      <c r="A588" s="76"/>
      <c r="B588" s="65"/>
      <c r="C588" s="65"/>
      <c r="D588" s="65"/>
      <c r="E588" s="71"/>
      <c r="F588" s="67"/>
      <c r="G588" s="67"/>
      <c r="H588" s="67"/>
      <c r="I588" s="67"/>
      <c r="J588" s="67"/>
      <c r="K588" s="68"/>
      <c r="L588" s="69"/>
      <c r="M588" s="70"/>
      <c r="N588" s="71"/>
      <c r="O588" s="85"/>
    </row>
    <row r="589" spans="1:15" ht="30" customHeight="1">
      <c r="A589" s="76"/>
      <c r="B589" s="65"/>
      <c r="C589" s="65"/>
      <c r="D589" s="65"/>
      <c r="E589" s="71"/>
      <c r="F589" s="67"/>
      <c r="G589" s="67"/>
      <c r="H589" s="67"/>
      <c r="I589" s="67"/>
      <c r="J589" s="67"/>
      <c r="K589" s="68"/>
      <c r="L589" s="69"/>
      <c r="M589" s="70"/>
      <c r="N589" s="71"/>
      <c r="O589" s="85"/>
    </row>
    <row r="590" spans="1:15" ht="30" customHeight="1">
      <c r="A590" s="76"/>
      <c r="B590" s="65"/>
      <c r="C590" s="65"/>
      <c r="D590" s="65"/>
      <c r="E590" s="71"/>
      <c r="F590" s="67"/>
      <c r="G590" s="67"/>
      <c r="H590" s="67"/>
      <c r="I590" s="67"/>
      <c r="J590" s="67"/>
      <c r="K590" s="68"/>
      <c r="L590" s="69"/>
      <c r="M590" s="70"/>
      <c r="N590" s="71"/>
      <c r="O590" s="85"/>
    </row>
    <row r="591" spans="1:15" ht="30" customHeight="1">
      <c r="A591" s="76"/>
      <c r="B591" s="65"/>
      <c r="C591" s="65"/>
      <c r="D591" s="65"/>
      <c r="E591" s="71"/>
      <c r="F591" s="67"/>
      <c r="G591" s="67"/>
      <c r="H591" s="67"/>
      <c r="I591" s="67"/>
      <c r="J591" s="67"/>
      <c r="K591" s="68"/>
      <c r="L591" s="69"/>
      <c r="M591" s="70"/>
      <c r="N591" s="71"/>
      <c r="O591" s="85"/>
    </row>
    <row r="592" spans="1:15" ht="30" customHeight="1">
      <c r="A592" s="76"/>
      <c r="B592" s="65"/>
      <c r="C592" s="65"/>
      <c r="D592" s="65"/>
      <c r="E592" s="71"/>
      <c r="F592" s="67"/>
      <c r="G592" s="67"/>
      <c r="H592" s="67"/>
      <c r="I592" s="67"/>
      <c r="J592" s="67"/>
      <c r="K592" s="68"/>
      <c r="L592" s="69"/>
      <c r="M592" s="70"/>
      <c r="N592" s="71"/>
      <c r="O592" s="85"/>
    </row>
    <row r="593" spans="1:15" ht="30" customHeight="1">
      <c r="A593" s="76"/>
      <c r="B593" s="65"/>
      <c r="C593" s="65"/>
      <c r="D593" s="65"/>
      <c r="E593" s="71"/>
      <c r="F593" s="67"/>
      <c r="G593" s="67"/>
      <c r="H593" s="67"/>
      <c r="I593" s="67"/>
      <c r="J593" s="67"/>
      <c r="K593" s="68"/>
      <c r="L593" s="69"/>
      <c r="M593" s="70"/>
      <c r="N593" s="71"/>
      <c r="O593" s="85"/>
    </row>
    <row r="594" spans="1:15" ht="30" customHeight="1">
      <c r="A594" s="76"/>
      <c r="B594" s="65"/>
      <c r="C594" s="65"/>
      <c r="D594" s="65"/>
      <c r="E594" s="71"/>
      <c r="F594" s="67"/>
      <c r="G594" s="67"/>
      <c r="H594" s="67"/>
      <c r="I594" s="67"/>
      <c r="J594" s="67"/>
      <c r="K594" s="68"/>
      <c r="L594" s="69"/>
      <c r="M594" s="70"/>
      <c r="N594" s="71"/>
      <c r="O594" s="85"/>
    </row>
    <row r="595" spans="1:15" ht="30" customHeight="1">
      <c r="A595" s="76"/>
      <c r="B595" s="65"/>
      <c r="C595" s="65"/>
      <c r="D595" s="65"/>
      <c r="E595" s="71"/>
      <c r="F595" s="67"/>
      <c r="G595" s="67"/>
      <c r="H595" s="67"/>
      <c r="I595" s="67"/>
      <c r="J595" s="67"/>
      <c r="K595" s="68"/>
      <c r="L595" s="69"/>
      <c r="M595" s="70"/>
      <c r="N595" s="71"/>
      <c r="O595" s="85"/>
    </row>
    <row r="596" spans="1:15" ht="30" customHeight="1">
      <c r="A596" s="76"/>
      <c r="B596" s="65"/>
      <c r="C596" s="65"/>
      <c r="D596" s="65"/>
      <c r="E596" s="71"/>
      <c r="F596" s="67"/>
      <c r="G596" s="67"/>
      <c r="H596" s="67"/>
      <c r="I596" s="67"/>
      <c r="J596" s="67"/>
      <c r="K596" s="68"/>
      <c r="L596" s="69"/>
      <c r="M596" s="70"/>
      <c r="N596" s="71"/>
      <c r="O596" s="85"/>
    </row>
    <row r="597" spans="1:15" ht="30" customHeight="1">
      <c r="A597" s="76"/>
      <c r="B597" s="65"/>
      <c r="C597" s="65"/>
      <c r="D597" s="65"/>
      <c r="E597" s="71"/>
      <c r="F597" s="67"/>
      <c r="G597" s="67"/>
      <c r="H597" s="67"/>
      <c r="I597" s="67"/>
      <c r="J597" s="67"/>
      <c r="K597" s="68"/>
      <c r="L597" s="69"/>
      <c r="M597" s="70"/>
      <c r="N597" s="71"/>
      <c r="O597" s="85"/>
    </row>
    <row r="598" spans="1:15" ht="30" customHeight="1">
      <c r="A598" s="76"/>
      <c r="B598" s="65"/>
      <c r="C598" s="65"/>
      <c r="D598" s="65"/>
      <c r="E598" s="71"/>
      <c r="F598" s="67"/>
      <c r="G598" s="67"/>
      <c r="H598" s="67"/>
      <c r="I598" s="67"/>
      <c r="J598" s="67"/>
      <c r="K598" s="68"/>
      <c r="L598" s="69"/>
      <c r="M598" s="70"/>
      <c r="N598" s="71"/>
      <c r="O598" s="85"/>
    </row>
    <row r="599" spans="1:15" ht="30" customHeight="1">
      <c r="A599" s="76"/>
      <c r="B599" s="65"/>
      <c r="C599" s="65"/>
      <c r="D599" s="65"/>
      <c r="E599" s="71"/>
      <c r="F599" s="67"/>
      <c r="G599" s="67"/>
      <c r="H599" s="67"/>
      <c r="I599" s="67"/>
      <c r="J599" s="67"/>
      <c r="K599" s="68"/>
      <c r="L599" s="69"/>
      <c r="M599" s="70"/>
      <c r="N599" s="71"/>
      <c r="O599" s="85"/>
    </row>
    <row r="600" spans="1:15" ht="30" customHeight="1">
      <c r="A600" s="76"/>
      <c r="B600" s="65"/>
      <c r="C600" s="65"/>
      <c r="D600" s="65"/>
      <c r="E600" s="71"/>
      <c r="F600" s="67"/>
      <c r="G600" s="67"/>
      <c r="H600" s="67"/>
      <c r="I600" s="67"/>
      <c r="J600" s="67"/>
      <c r="K600" s="68"/>
      <c r="L600" s="69"/>
      <c r="M600" s="70"/>
      <c r="N600" s="71"/>
      <c r="O600" s="85"/>
    </row>
    <row r="601" spans="1:15" ht="30" customHeight="1">
      <c r="A601" s="76"/>
      <c r="B601" s="65"/>
      <c r="C601" s="65"/>
      <c r="D601" s="65"/>
      <c r="E601" s="71"/>
      <c r="F601" s="67"/>
      <c r="G601" s="67"/>
      <c r="H601" s="67"/>
      <c r="I601" s="67"/>
      <c r="J601" s="67"/>
      <c r="K601" s="68"/>
      <c r="L601" s="69"/>
      <c r="M601" s="70"/>
      <c r="N601" s="71"/>
      <c r="O601" s="85"/>
    </row>
    <row r="602" spans="1:15" ht="30" customHeight="1">
      <c r="A602" s="76"/>
      <c r="B602" s="65"/>
      <c r="C602" s="65"/>
      <c r="D602" s="65"/>
      <c r="E602" s="71"/>
      <c r="F602" s="67"/>
      <c r="G602" s="67"/>
      <c r="H602" s="67"/>
      <c r="I602" s="67"/>
      <c r="J602" s="67"/>
      <c r="K602" s="68"/>
      <c r="L602" s="69"/>
      <c r="M602" s="70"/>
      <c r="N602" s="71"/>
      <c r="O602" s="85"/>
    </row>
    <row r="603" spans="1:15" ht="30" customHeight="1">
      <c r="A603" s="76"/>
      <c r="B603" s="65"/>
      <c r="C603" s="65"/>
      <c r="D603" s="65"/>
      <c r="E603" s="71"/>
      <c r="F603" s="67"/>
      <c r="G603" s="67"/>
      <c r="H603" s="67"/>
      <c r="I603" s="67"/>
      <c r="J603" s="67"/>
      <c r="K603" s="68"/>
      <c r="L603" s="69"/>
      <c r="M603" s="70"/>
      <c r="N603" s="71"/>
      <c r="O603" s="85"/>
    </row>
    <row r="604" spans="1:15" ht="30" customHeight="1">
      <c r="A604" s="76"/>
      <c r="B604" s="65"/>
      <c r="C604" s="65"/>
      <c r="D604" s="65"/>
      <c r="E604" s="71"/>
      <c r="F604" s="67"/>
      <c r="G604" s="67"/>
      <c r="H604" s="67"/>
      <c r="I604" s="67"/>
      <c r="J604" s="67"/>
      <c r="K604" s="68"/>
      <c r="L604" s="69"/>
      <c r="M604" s="70"/>
      <c r="N604" s="71"/>
      <c r="O604" s="85"/>
    </row>
    <row r="605" spans="1:15" ht="30" customHeight="1">
      <c r="A605" s="76"/>
      <c r="B605" s="65"/>
      <c r="C605" s="65"/>
      <c r="D605" s="65"/>
      <c r="E605" s="71"/>
      <c r="F605" s="67"/>
      <c r="G605" s="67"/>
      <c r="H605" s="67"/>
      <c r="I605" s="67"/>
      <c r="J605" s="67"/>
      <c r="K605" s="68"/>
      <c r="L605" s="69"/>
      <c r="M605" s="70"/>
      <c r="N605" s="71"/>
      <c r="O605" s="85"/>
    </row>
    <row r="606" spans="1:15" ht="30" customHeight="1">
      <c r="A606" s="76"/>
      <c r="B606" s="65"/>
      <c r="C606" s="65"/>
      <c r="D606" s="65"/>
      <c r="E606" s="71"/>
      <c r="F606" s="67"/>
      <c r="G606" s="67"/>
      <c r="H606" s="67"/>
      <c r="I606" s="67"/>
      <c r="J606" s="67"/>
      <c r="K606" s="68"/>
      <c r="L606" s="69"/>
      <c r="M606" s="70"/>
      <c r="N606" s="71"/>
      <c r="O606" s="85"/>
    </row>
    <row r="607" spans="1:15" ht="30" customHeight="1">
      <c r="A607" s="76"/>
      <c r="B607" s="65"/>
      <c r="C607" s="65"/>
      <c r="D607" s="65"/>
      <c r="E607" s="71"/>
      <c r="F607" s="67"/>
      <c r="G607" s="67"/>
      <c r="H607" s="67"/>
      <c r="I607" s="67"/>
      <c r="J607" s="67"/>
      <c r="K607" s="68"/>
      <c r="L607" s="69"/>
      <c r="M607" s="70"/>
      <c r="N607" s="71"/>
      <c r="O607" s="85"/>
    </row>
    <row r="608" spans="1:15" ht="30" customHeight="1">
      <c r="A608" s="76"/>
      <c r="B608" s="65"/>
      <c r="C608" s="65"/>
      <c r="D608" s="65"/>
      <c r="E608" s="71"/>
      <c r="F608" s="67"/>
      <c r="G608" s="67"/>
      <c r="H608" s="67"/>
      <c r="I608" s="67"/>
      <c r="J608" s="67"/>
      <c r="K608" s="68"/>
      <c r="L608" s="69"/>
      <c r="M608" s="70"/>
      <c r="N608" s="71"/>
      <c r="O608" s="85"/>
    </row>
    <row r="609" spans="1:15" ht="30" customHeight="1">
      <c r="A609" s="76"/>
      <c r="B609" s="65"/>
      <c r="C609" s="65"/>
      <c r="D609" s="65"/>
      <c r="E609" s="71"/>
      <c r="F609" s="67"/>
      <c r="G609" s="67"/>
      <c r="H609" s="67"/>
      <c r="I609" s="67"/>
      <c r="J609" s="67"/>
      <c r="K609" s="68"/>
      <c r="L609" s="69"/>
      <c r="M609" s="70"/>
      <c r="N609" s="71"/>
      <c r="O609" s="85"/>
    </row>
    <row r="610" spans="1:15" ht="30" customHeight="1">
      <c r="A610" s="76"/>
      <c r="B610" s="65"/>
      <c r="C610" s="65"/>
      <c r="D610" s="65"/>
      <c r="E610" s="71"/>
      <c r="F610" s="67"/>
      <c r="G610" s="67"/>
      <c r="H610" s="67"/>
      <c r="I610" s="67"/>
      <c r="J610" s="67"/>
      <c r="K610" s="68"/>
      <c r="L610" s="69"/>
      <c r="M610" s="70"/>
      <c r="N610" s="71"/>
      <c r="O610" s="85"/>
    </row>
    <row r="611" spans="1:15" ht="30" customHeight="1">
      <c r="A611" s="76"/>
      <c r="B611" s="65"/>
      <c r="C611" s="65"/>
      <c r="D611" s="65"/>
      <c r="E611" s="71"/>
      <c r="F611" s="67"/>
      <c r="G611" s="67"/>
      <c r="H611" s="67"/>
      <c r="I611" s="67"/>
      <c r="J611" s="67"/>
      <c r="K611" s="68"/>
      <c r="L611" s="69"/>
      <c r="M611" s="70"/>
      <c r="N611" s="71"/>
      <c r="O611" s="85"/>
    </row>
    <row r="612" spans="1:15" ht="30" customHeight="1">
      <c r="A612" s="76"/>
      <c r="B612" s="65"/>
      <c r="C612" s="65"/>
      <c r="D612" s="65"/>
      <c r="E612" s="71"/>
      <c r="F612" s="67"/>
      <c r="G612" s="67"/>
      <c r="H612" s="67"/>
      <c r="I612" s="67"/>
      <c r="J612" s="67"/>
      <c r="K612" s="68"/>
      <c r="L612" s="69"/>
      <c r="M612" s="70"/>
      <c r="N612" s="71"/>
      <c r="O612" s="85"/>
    </row>
    <row r="613" spans="1:15" ht="30" customHeight="1">
      <c r="A613" s="76"/>
      <c r="B613" s="65"/>
      <c r="C613" s="65"/>
      <c r="D613" s="65"/>
      <c r="E613" s="71"/>
      <c r="F613" s="67"/>
      <c r="G613" s="67"/>
      <c r="H613" s="67"/>
      <c r="I613" s="67"/>
      <c r="J613" s="67"/>
      <c r="K613" s="68"/>
      <c r="L613" s="69"/>
      <c r="M613" s="70"/>
      <c r="N613" s="71"/>
      <c r="O613" s="85"/>
    </row>
    <row r="614" spans="1:15" ht="30" customHeight="1">
      <c r="A614" s="76"/>
      <c r="B614" s="65"/>
      <c r="C614" s="65"/>
      <c r="D614" s="65"/>
      <c r="E614" s="71"/>
      <c r="F614" s="67"/>
      <c r="G614" s="67"/>
      <c r="H614" s="67"/>
      <c r="I614" s="67"/>
      <c r="J614" s="67"/>
      <c r="K614" s="68"/>
      <c r="L614" s="69"/>
      <c r="M614" s="70"/>
      <c r="N614" s="71"/>
      <c r="O614" s="85"/>
    </row>
    <row r="615" spans="1:15" ht="30" customHeight="1">
      <c r="A615" s="76"/>
      <c r="B615" s="65"/>
      <c r="C615" s="65"/>
      <c r="D615" s="65"/>
      <c r="E615" s="71"/>
      <c r="F615" s="67"/>
      <c r="G615" s="67"/>
      <c r="H615" s="67"/>
      <c r="I615" s="67"/>
      <c r="J615" s="67"/>
      <c r="K615" s="68"/>
      <c r="L615" s="69"/>
      <c r="M615" s="70"/>
      <c r="N615" s="71"/>
      <c r="O615" s="85"/>
    </row>
    <row r="616" spans="1:15" ht="30" customHeight="1">
      <c r="A616" s="76"/>
      <c r="B616" s="65"/>
      <c r="C616" s="65"/>
      <c r="D616" s="65"/>
      <c r="E616" s="71"/>
      <c r="F616" s="67"/>
      <c r="G616" s="67"/>
      <c r="H616" s="67"/>
      <c r="I616" s="67"/>
      <c r="J616" s="67"/>
      <c r="K616" s="68"/>
      <c r="L616" s="69"/>
      <c r="M616" s="70"/>
      <c r="N616" s="71"/>
      <c r="O616" s="85"/>
    </row>
    <row r="617" spans="1:15" ht="30" customHeight="1">
      <c r="A617" s="76"/>
      <c r="B617" s="65"/>
      <c r="C617" s="65"/>
      <c r="D617" s="65"/>
      <c r="E617" s="71"/>
      <c r="F617" s="67"/>
      <c r="G617" s="67"/>
      <c r="H617" s="67"/>
      <c r="I617" s="67"/>
      <c r="J617" s="67"/>
      <c r="K617" s="68"/>
      <c r="L617" s="69"/>
      <c r="M617" s="70"/>
      <c r="N617" s="71"/>
      <c r="O617" s="85"/>
    </row>
    <row r="618" spans="1:15" ht="30" customHeight="1">
      <c r="A618" s="76"/>
      <c r="B618" s="65"/>
      <c r="C618" s="65"/>
      <c r="D618" s="65"/>
      <c r="E618" s="71"/>
      <c r="F618" s="67"/>
      <c r="G618" s="67"/>
      <c r="H618" s="67"/>
      <c r="I618" s="67"/>
      <c r="J618" s="67"/>
      <c r="K618" s="68"/>
      <c r="L618" s="69"/>
      <c r="M618" s="70"/>
      <c r="N618" s="71"/>
      <c r="O618" s="85"/>
    </row>
    <row r="619" spans="1:15" ht="30" customHeight="1">
      <c r="A619" s="76"/>
      <c r="B619" s="65"/>
      <c r="C619" s="65"/>
      <c r="D619" s="65"/>
      <c r="E619" s="71"/>
      <c r="F619" s="67"/>
      <c r="G619" s="67"/>
      <c r="H619" s="67"/>
      <c r="I619" s="67"/>
      <c r="J619" s="67"/>
      <c r="K619" s="68"/>
      <c r="L619" s="69"/>
      <c r="M619" s="70"/>
      <c r="N619" s="71"/>
      <c r="O619" s="85"/>
    </row>
    <row r="620" spans="1:15" ht="30" customHeight="1">
      <c r="A620" s="76"/>
      <c r="B620" s="65"/>
      <c r="C620" s="65"/>
      <c r="D620" s="65"/>
      <c r="E620" s="71"/>
      <c r="F620" s="67"/>
      <c r="G620" s="67"/>
      <c r="H620" s="67"/>
      <c r="I620" s="67"/>
      <c r="J620" s="67"/>
      <c r="K620" s="68"/>
      <c r="L620" s="69"/>
      <c r="M620" s="70"/>
      <c r="N620" s="71"/>
      <c r="O620" s="85"/>
    </row>
    <row r="621" spans="1:15" ht="30" customHeight="1">
      <c r="A621" s="76"/>
      <c r="B621" s="65"/>
      <c r="C621" s="65"/>
      <c r="D621" s="65"/>
      <c r="E621" s="71"/>
      <c r="F621" s="67"/>
      <c r="G621" s="67"/>
      <c r="H621" s="67"/>
      <c r="I621" s="67"/>
      <c r="J621" s="67"/>
      <c r="K621" s="68"/>
      <c r="L621" s="69"/>
      <c r="M621" s="70"/>
      <c r="N621" s="71"/>
      <c r="O621" s="85"/>
    </row>
    <row r="622" spans="1:15" ht="30" customHeight="1">
      <c r="A622" s="76"/>
      <c r="B622" s="65"/>
      <c r="C622" s="65"/>
      <c r="D622" s="65"/>
      <c r="E622" s="71"/>
      <c r="F622" s="67"/>
      <c r="G622" s="67"/>
      <c r="H622" s="67"/>
      <c r="I622" s="67"/>
      <c r="J622" s="67"/>
      <c r="K622" s="68"/>
      <c r="L622" s="69"/>
      <c r="M622" s="70"/>
      <c r="N622" s="71"/>
      <c r="O622" s="85"/>
    </row>
    <row r="623" spans="1:15" ht="30" customHeight="1">
      <c r="A623" s="76"/>
      <c r="B623" s="65"/>
      <c r="C623" s="65"/>
      <c r="D623" s="65"/>
      <c r="E623" s="71"/>
      <c r="F623" s="67"/>
      <c r="G623" s="67"/>
      <c r="H623" s="67"/>
      <c r="I623" s="67"/>
      <c r="J623" s="67"/>
      <c r="K623" s="68"/>
      <c r="L623" s="69"/>
      <c r="M623" s="70"/>
      <c r="N623" s="71"/>
      <c r="O623" s="85"/>
    </row>
    <row r="624" spans="1:15" ht="30" customHeight="1">
      <c r="A624" s="76"/>
      <c r="B624" s="65"/>
      <c r="C624" s="65"/>
      <c r="D624" s="65"/>
      <c r="E624" s="71"/>
      <c r="F624" s="67"/>
      <c r="G624" s="67"/>
      <c r="H624" s="67"/>
      <c r="I624" s="67"/>
      <c r="J624" s="67"/>
      <c r="K624" s="68"/>
      <c r="L624" s="69"/>
      <c r="M624" s="70"/>
      <c r="N624" s="71"/>
      <c r="O624" s="85"/>
    </row>
    <row r="625" spans="1:15" ht="30" customHeight="1">
      <c r="A625" s="76"/>
      <c r="B625" s="65"/>
      <c r="C625" s="65"/>
      <c r="D625" s="65"/>
      <c r="E625" s="71"/>
      <c r="F625" s="67"/>
      <c r="G625" s="67"/>
      <c r="H625" s="67"/>
      <c r="I625" s="67"/>
      <c r="J625" s="67"/>
      <c r="K625" s="68"/>
      <c r="L625" s="69"/>
      <c r="M625" s="70"/>
      <c r="N625" s="71"/>
      <c r="O625" s="85"/>
    </row>
    <row r="626" spans="1:15" ht="30" customHeight="1">
      <c r="A626" s="76"/>
      <c r="B626" s="65"/>
      <c r="C626" s="65"/>
      <c r="D626" s="65"/>
      <c r="E626" s="71"/>
      <c r="F626" s="67"/>
      <c r="G626" s="67"/>
      <c r="H626" s="67"/>
      <c r="I626" s="67"/>
      <c r="J626" s="67"/>
      <c r="K626" s="68"/>
      <c r="L626" s="69"/>
      <c r="M626" s="70"/>
      <c r="N626" s="71"/>
      <c r="O626" s="85"/>
    </row>
    <row r="627" spans="1:15" ht="30" customHeight="1">
      <c r="A627" s="76"/>
      <c r="B627" s="65"/>
      <c r="C627" s="65"/>
      <c r="D627" s="65"/>
      <c r="E627" s="71"/>
      <c r="F627" s="67"/>
      <c r="G627" s="67"/>
      <c r="H627" s="67"/>
      <c r="I627" s="67"/>
      <c r="J627" s="67"/>
      <c r="K627" s="68"/>
      <c r="L627" s="69"/>
      <c r="M627" s="70"/>
      <c r="N627" s="71"/>
      <c r="O627" s="85"/>
    </row>
    <row r="628" spans="1:15" ht="30" customHeight="1">
      <c r="A628" s="76"/>
      <c r="B628" s="65"/>
      <c r="C628" s="65"/>
      <c r="D628" s="65"/>
      <c r="E628" s="71"/>
      <c r="F628" s="67"/>
      <c r="G628" s="67"/>
      <c r="H628" s="67"/>
      <c r="I628" s="67"/>
      <c r="J628" s="67"/>
      <c r="K628" s="68"/>
      <c r="L628" s="69"/>
      <c r="M628" s="70"/>
      <c r="N628" s="71"/>
      <c r="O628" s="85"/>
    </row>
    <row r="629" spans="1:15" ht="30" customHeight="1">
      <c r="A629" s="76"/>
      <c r="B629" s="65"/>
      <c r="C629" s="65"/>
      <c r="D629" s="65"/>
      <c r="E629" s="71"/>
      <c r="F629" s="67"/>
      <c r="G629" s="67"/>
      <c r="H629" s="67"/>
      <c r="I629" s="67"/>
      <c r="J629" s="67"/>
      <c r="K629" s="68"/>
      <c r="L629" s="69"/>
      <c r="M629" s="70"/>
      <c r="N629" s="71"/>
      <c r="O629" s="85"/>
    </row>
    <row r="630" spans="1:15" ht="30" customHeight="1">
      <c r="A630" s="76"/>
      <c r="B630" s="65"/>
      <c r="C630" s="65"/>
      <c r="D630" s="65"/>
      <c r="E630" s="71"/>
      <c r="F630" s="67"/>
      <c r="G630" s="67"/>
      <c r="H630" s="67"/>
      <c r="I630" s="67"/>
      <c r="J630" s="67"/>
      <c r="K630" s="68"/>
      <c r="L630" s="69"/>
      <c r="M630" s="70"/>
      <c r="N630" s="71"/>
      <c r="O630" s="85"/>
    </row>
    <row r="631" spans="1:15" ht="30" customHeight="1">
      <c r="A631" s="76"/>
      <c r="B631" s="65"/>
      <c r="C631" s="65"/>
      <c r="D631" s="65"/>
      <c r="E631" s="71"/>
      <c r="F631" s="67"/>
      <c r="G631" s="67"/>
      <c r="H631" s="67"/>
      <c r="I631" s="67"/>
      <c r="J631" s="67"/>
      <c r="K631" s="68"/>
      <c r="L631" s="69"/>
      <c r="M631" s="70"/>
      <c r="N631" s="71"/>
      <c r="O631" s="85"/>
    </row>
    <row r="632" spans="1:15" ht="30" customHeight="1">
      <c r="A632" s="76"/>
      <c r="B632" s="65"/>
      <c r="C632" s="65"/>
      <c r="D632" s="65"/>
      <c r="E632" s="71"/>
      <c r="F632" s="67"/>
      <c r="G632" s="67"/>
      <c r="H632" s="67"/>
      <c r="I632" s="67"/>
      <c r="J632" s="67"/>
      <c r="K632" s="68"/>
      <c r="L632" s="69"/>
      <c r="M632" s="70"/>
      <c r="N632" s="71"/>
      <c r="O632" s="85"/>
    </row>
    <row r="633" spans="1:15" ht="30" customHeight="1">
      <c r="A633" s="76"/>
      <c r="B633" s="65"/>
      <c r="C633" s="65"/>
      <c r="D633" s="65"/>
      <c r="E633" s="71"/>
      <c r="F633" s="67"/>
      <c r="G633" s="67"/>
      <c r="H633" s="67"/>
      <c r="I633" s="67"/>
      <c r="J633" s="67"/>
      <c r="K633" s="68"/>
      <c r="L633" s="69"/>
      <c r="M633" s="70"/>
      <c r="N633" s="71"/>
      <c r="O633" s="85"/>
    </row>
    <row r="634" spans="1:15" ht="30" customHeight="1">
      <c r="A634" s="76"/>
      <c r="B634" s="65"/>
      <c r="C634" s="65"/>
      <c r="D634" s="65"/>
      <c r="E634" s="71"/>
      <c r="F634" s="67"/>
      <c r="G634" s="67"/>
      <c r="H634" s="67"/>
      <c r="I634" s="67"/>
      <c r="J634" s="67"/>
      <c r="K634" s="68"/>
      <c r="L634" s="69"/>
      <c r="M634" s="70"/>
      <c r="N634" s="71"/>
      <c r="O634" s="85"/>
    </row>
    <row r="635" spans="1:15" ht="30" customHeight="1">
      <c r="A635" s="76"/>
      <c r="B635" s="65"/>
      <c r="C635" s="65"/>
      <c r="D635" s="65"/>
      <c r="E635" s="71"/>
      <c r="F635" s="67"/>
      <c r="G635" s="67"/>
      <c r="H635" s="67"/>
      <c r="I635" s="67"/>
      <c r="J635" s="67"/>
      <c r="K635" s="68"/>
      <c r="L635" s="69"/>
      <c r="M635" s="70"/>
      <c r="N635" s="71"/>
      <c r="O635" s="85"/>
    </row>
    <row r="636" spans="1:15" ht="30" customHeight="1">
      <c r="A636" s="76"/>
      <c r="B636" s="65"/>
      <c r="C636" s="65"/>
      <c r="D636" s="65"/>
      <c r="E636" s="71"/>
      <c r="F636" s="67"/>
      <c r="G636" s="67"/>
      <c r="H636" s="67"/>
      <c r="I636" s="67"/>
      <c r="J636" s="67"/>
      <c r="K636" s="68"/>
      <c r="L636" s="69"/>
      <c r="M636" s="70"/>
      <c r="N636" s="71"/>
      <c r="O636" s="85"/>
    </row>
    <row r="637" spans="1:15" ht="30" customHeight="1">
      <c r="A637" s="76"/>
      <c r="B637" s="65"/>
      <c r="C637" s="65"/>
      <c r="D637" s="65"/>
      <c r="E637" s="71"/>
      <c r="F637" s="67"/>
      <c r="G637" s="67"/>
      <c r="H637" s="67"/>
      <c r="I637" s="67"/>
      <c r="J637" s="67"/>
      <c r="K637" s="68"/>
      <c r="L637" s="69"/>
      <c r="M637" s="70"/>
      <c r="N637" s="71"/>
      <c r="O637" s="85"/>
    </row>
    <row r="638" spans="1:15" ht="30" customHeight="1">
      <c r="A638" s="76"/>
      <c r="B638" s="65"/>
      <c r="C638" s="65"/>
      <c r="D638" s="65"/>
      <c r="E638" s="71"/>
      <c r="F638" s="67"/>
      <c r="G638" s="67"/>
      <c r="H638" s="67"/>
      <c r="I638" s="67"/>
      <c r="J638" s="67"/>
      <c r="K638" s="68"/>
      <c r="L638" s="69"/>
      <c r="M638" s="70"/>
      <c r="N638" s="71"/>
      <c r="O638" s="85"/>
    </row>
    <row r="639" spans="1:15" ht="30" customHeight="1">
      <c r="A639" s="76"/>
      <c r="B639" s="65"/>
      <c r="C639" s="65"/>
      <c r="D639" s="65"/>
      <c r="E639" s="71"/>
      <c r="F639" s="67"/>
      <c r="G639" s="67"/>
      <c r="H639" s="67"/>
      <c r="I639" s="67"/>
      <c r="J639" s="67"/>
      <c r="K639" s="68"/>
      <c r="L639" s="69"/>
      <c r="M639" s="70"/>
      <c r="N639" s="71"/>
      <c r="O639" s="85"/>
    </row>
    <row r="640" spans="1:15" ht="30" customHeight="1">
      <c r="A640" s="76"/>
      <c r="B640" s="65"/>
      <c r="C640" s="65"/>
      <c r="D640" s="65"/>
      <c r="E640" s="71"/>
      <c r="F640" s="67"/>
      <c r="G640" s="67"/>
      <c r="H640" s="67"/>
      <c r="I640" s="67"/>
      <c r="J640" s="67"/>
      <c r="K640" s="68"/>
      <c r="L640" s="69"/>
      <c r="M640" s="70"/>
      <c r="N640" s="71"/>
      <c r="O640" s="85"/>
    </row>
    <row r="641" spans="1:15" ht="30" customHeight="1">
      <c r="A641" s="76"/>
      <c r="B641" s="65"/>
      <c r="C641" s="65"/>
      <c r="D641" s="65"/>
      <c r="E641" s="71"/>
      <c r="F641" s="67"/>
      <c r="G641" s="67"/>
      <c r="H641" s="67"/>
      <c r="I641" s="67"/>
      <c r="J641" s="67"/>
      <c r="K641" s="68"/>
      <c r="L641" s="69"/>
      <c r="M641" s="70"/>
      <c r="N641" s="71"/>
      <c r="O641" s="85"/>
    </row>
    <row r="642" spans="1:15" ht="30" customHeight="1">
      <c r="A642" s="76"/>
      <c r="B642" s="65"/>
      <c r="C642" s="65"/>
      <c r="D642" s="65"/>
      <c r="E642" s="71"/>
      <c r="F642" s="67"/>
      <c r="G642" s="67"/>
      <c r="H642" s="67"/>
      <c r="I642" s="67"/>
      <c r="J642" s="67"/>
      <c r="K642" s="68"/>
      <c r="L642" s="69"/>
      <c r="M642" s="70"/>
      <c r="N642" s="71"/>
      <c r="O642" s="85"/>
    </row>
    <row r="643" spans="1:15" ht="30" customHeight="1">
      <c r="A643" s="76"/>
      <c r="B643" s="65"/>
      <c r="C643" s="65"/>
      <c r="D643" s="65"/>
      <c r="E643" s="71"/>
      <c r="F643" s="67"/>
      <c r="G643" s="67"/>
      <c r="H643" s="67"/>
      <c r="I643" s="67"/>
      <c r="J643" s="67"/>
      <c r="K643" s="68"/>
      <c r="L643" s="69"/>
      <c r="M643" s="70"/>
      <c r="N643" s="71"/>
      <c r="O643" s="85"/>
    </row>
    <row r="644" spans="1:15" ht="30" customHeight="1">
      <c r="A644" s="76"/>
      <c r="B644" s="65"/>
      <c r="C644" s="65"/>
      <c r="D644" s="65"/>
      <c r="E644" s="71"/>
      <c r="F644" s="67"/>
      <c r="G644" s="67"/>
      <c r="H644" s="67"/>
      <c r="I644" s="67"/>
      <c r="J644" s="67"/>
      <c r="K644" s="68"/>
      <c r="L644" s="69"/>
      <c r="M644" s="70"/>
      <c r="N644" s="71"/>
      <c r="O644" s="85"/>
    </row>
    <row r="645" spans="1:15" ht="30" customHeight="1">
      <c r="A645" s="76"/>
      <c r="B645" s="65"/>
      <c r="C645" s="65"/>
      <c r="D645" s="65"/>
      <c r="E645" s="71"/>
      <c r="F645" s="67"/>
      <c r="G645" s="67"/>
      <c r="H645" s="67"/>
      <c r="I645" s="67"/>
      <c r="J645" s="67"/>
      <c r="K645" s="68"/>
      <c r="L645" s="69"/>
      <c r="M645" s="70"/>
      <c r="N645" s="71"/>
      <c r="O645" s="85"/>
    </row>
    <row r="646" spans="1:15" ht="30" customHeight="1">
      <c r="A646" s="76"/>
      <c r="B646" s="65"/>
      <c r="C646" s="65"/>
      <c r="D646" s="65"/>
      <c r="E646" s="71"/>
      <c r="F646" s="67"/>
      <c r="G646" s="67"/>
      <c r="H646" s="67"/>
      <c r="I646" s="67"/>
      <c r="J646" s="67"/>
      <c r="K646" s="68"/>
      <c r="L646" s="69"/>
      <c r="M646" s="70"/>
      <c r="N646" s="71"/>
      <c r="O646" s="85"/>
    </row>
    <row r="647" spans="1:15" ht="30" customHeight="1">
      <c r="A647" s="76"/>
      <c r="B647" s="65"/>
      <c r="C647" s="65"/>
      <c r="D647" s="65"/>
      <c r="E647" s="71"/>
      <c r="F647" s="67"/>
      <c r="G647" s="67"/>
      <c r="H647" s="67"/>
      <c r="I647" s="67"/>
      <c r="J647" s="67"/>
      <c r="K647" s="68"/>
      <c r="L647" s="69"/>
      <c r="M647" s="70"/>
      <c r="N647" s="71"/>
      <c r="O647" s="85"/>
    </row>
    <row r="648" spans="1:15" ht="30" customHeight="1">
      <c r="A648" s="76"/>
      <c r="B648" s="65"/>
      <c r="C648" s="65"/>
      <c r="D648" s="65"/>
      <c r="E648" s="71"/>
      <c r="F648" s="67"/>
      <c r="G648" s="67"/>
      <c r="H648" s="67"/>
      <c r="I648" s="67"/>
      <c r="J648" s="67"/>
      <c r="K648" s="68"/>
      <c r="L648" s="69"/>
      <c r="M648" s="70"/>
      <c r="N648" s="71"/>
      <c r="O648" s="85"/>
    </row>
    <row r="649" spans="1:15" ht="30" customHeight="1">
      <c r="A649" s="76"/>
      <c r="B649" s="65"/>
      <c r="C649" s="65"/>
      <c r="D649" s="65"/>
      <c r="E649" s="71"/>
      <c r="F649" s="67"/>
      <c r="G649" s="67"/>
      <c r="H649" s="67"/>
      <c r="I649" s="67"/>
      <c r="J649" s="67"/>
      <c r="K649" s="68"/>
      <c r="L649" s="69"/>
      <c r="M649" s="70"/>
      <c r="N649" s="71"/>
      <c r="O649" s="85"/>
    </row>
    <row r="650" spans="1:15" ht="30" customHeight="1">
      <c r="A650" s="76"/>
      <c r="B650" s="65"/>
      <c r="C650" s="65"/>
      <c r="D650" s="65"/>
      <c r="E650" s="71"/>
      <c r="F650" s="67"/>
      <c r="G650" s="67"/>
      <c r="H650" s="67"/>
      <c r="I650" s="67"/>
      <c r="J650" s="67"/>
      <c r="K650" s="68"/>
      <c r="L650" s="69"/>
      <c r="M650" s="70"/>
      <c r="N650" s="71"/>
      <c r="O650" s="85"/>
    </row>
    <row r="651" spans="1:15" ht="30" customHeight="1">
      <c r="A651" s="76"/>
      <c r="B651" s="65"/>
      <c r="C651" s="65"/>
      <c r="D651" s="65"/>
      <c r="E651" s="71"/>
      <c r="F651" s="67"/>
      <c r="G651" s="67"/>
      <c r="H651" s="67"/>
      <c r="I651" s="67"/>
      <c r="J651" s="67"/>
      <c r="K651" s="68"/>
      <c r="L651" s="69"/>
      <c r="M651" s="70"/>
      <c r="N651" s="71"/>
      <c r="O651" s="85"/>
    </row>
    <row r="652" spans="1:15" ht="30" customHeight="1">
      <c r="A652" s="76"/>
      <c r="B652" s="65"/>
      <c r="C652" s="65"/>
      <c r="D652" s="65"/>
      <c r="E652" s="71"/>
      <c r="F652" s="67"/>
      <c r="G652" s="67"/>
      <c r="H652" s="67"/>
      <c r="I652" s="67"/>
      <c r="J652" s="67"/>
      <c r="K652" s="68"/>
      <c r="L652" s="69"/>
      <c r="M652" s="70"/>
      <c r="N652" s="71"/>
      <c r="O652" s="85"/>
    </row>
    <row r="653" spans="1:15" ht="30" customHeight="1">
      <c r="A653" s="76"/>
      <c r="B653" s="65"/>
      <c r="C653" s="65"/>
      <c r="D653" s="65"/>
      <c r="E653" s="71"/>
      <c r="F653" s="67"/>
      <c r="G653" s="67"/>
      <c r="H653" s="67"/>
      <c r="I653" s="67"/>
      <c r="J653" s="67"/>
      <c r="K653" s="68"/>
      <c r="L653" s="69"/>
      <c r="M653" s="70"/>
      <c r="N653" s="71"/>
      <c r="O653" s="85"/>
    </row>
    <row r="654" spans="1:15" ht="30" customHeight="1">
      <c r="A654" s="76"/>
      <c r="B654" s="65"/>
      <c r="C654" s="65"/>
      <c r="D654" s="65"/>
      <c r="E654" s="71"/>
      <c r="F654" s="67"/>
      <c r="G654" s="67"/>
      <c r="H654" s="67"/>
      <c r="I654" s="67"/>
      <c r="J654" s="67"/>
      <c r="K654" s="68"/>
      <c r="L654" s="69"/>
      <c r="M654" s="70"/>
      <c r="N654" s="71"/>
      <c r="O654" s="85"/>
    </row>
    <row r="655" spans="1:15" ht="30" customHeight="1">
      <c r="A655" s="76"/>
      <c r="B655" s="65"/>
      <c r="C655" s="65"/>
      <c r="D655" s="65"/>
      <c r="E655" s="71"/>
      <c r="F655" s="67"/>
      <c r="G655" s="67"/>
      <c r="H655" s="67"/>
      <c r="I655" s="67"/>
      <c r="J655" s="67"/>
      <c r="K655" s="68"/>
      <c r="L655" s="69"/>
      <c r="M655" s="70"/>
      <c r="N655" s="71"/>
      <c r="O655" s="85"/>
    </row>
    <row r="656" spans="1:15" ht="30" customHeight="1">
      <c r="A656" s="76"/>
      <c r="B656" s="65"/>
      <c r="C656" s="65"/>
      <c r="D656" s="65"/>
      <c r="E656" s="71"/>
      <c r="F656" s="67"/>
      <c r="G656" s="67"/>
      <c r="H656" s="67"/>
      <c r="I656" s="67"/>
      <c r="J656" s="67"/>
      <c r="K656" s="68"/>
      <c r="L656" s="69"/>
      <c r="M656" s="70"/>
      <c r="N656" s="71"/>
      <c r="O656" s="85"/>
    </row>
    <row r="657" spans="1:15" ht="30" customHeight="1">
      <c r="A657" s="76"/>
      <c r="B657" s="65"/>
      <c r="C657" s="65"/>
      <c r="D657" s="65"/>
      <c r="E657" s="71"/>
      <c r="F657" s="67"/>
      <c r="G657" s="67"/>
      <c r="H657" s="67"/>
      <c r="I657" s="67"/>
      <c r="J657" s="67"/>
      <c r="K657" s="68"/>
      <c r="L657" s="69"/>
      <c r="M657" s="70"/>
      <c r="N657" s="71"/>
      <c r="O657" s="85"/>
    </row>
    <row r="658" spans="1:15" ht="30" customHeight="1">
      <c r="A658" s="76"/>
      <c r="B658" s="65"/>
      <c r="C658" s="65"/>
      <c r="D658" s="65"/>
      <c r="E658" s="71"/>
      <c r="F658" s="67"/>
      <c r="G658" s="67"/>
      <c r="H658" s="67"/>
      <c r="I658" s="67"/>
      <c r="J658" s="67"/>
      <c r="K658" s="68"/>
      <c r="L658" s="69"/>
      <c r="M658" s="70"/>
      <c r="N658" s="71"/>
      <c r="O658" s="85"/>
    </row>
    <row r="659" spans="1:15" ht="30" customHeight="1">
      <c r="A659" s="76"/>
      <c r="B659" s="65"/>
      <c r="C659" s="65"/>
      <c r="D659" s="65"/>
      <c r="E659" s="71"/>
      <c r="F659" s="67"/>
      <c r="G659" s="67"/>
      <c r="H659" s="67"/>
      <c r="I659" s="67"/>
      <c r="J659" s="67"/>
      <c r="K659" s="68"/>
      <c r="L659" s="69"/>
      <c r="M659" s="70"/>
      <c r="N659" s="71"/>
      <c r="O659" s="85"/>
    </row>
    <row r="660" spans="1:15" ht="30" customHeight="1">
      <c r="A660" s="76"/>
      <c r="B660" s="65"/>
      <c r="C660" s="65"/>
      <c r="D660" s="65"/>
      <c r="E660" s="71"/>
      <c r="F660" s="67"/>
      <c r="G660" s="67"/>
      <c r="H660" s="67"/>
      <c r="I660" s="67"/>
      <c r="J660" s="67"/>
      <c r="K660" s="68"/>
      <c r="L660" s="69"/>
      <c r="M660" s="70"/>
      <c r="N660" s="71"/>
      <c r="O660" s="85"/>
    </row>
    <row r="661" spans="1:15" ht="30" customHeight="1">
      <c r="A661" s="76"/>
      <c r="B661" s="65"/>
      <c r="C661" s="65"/>
      <c r="D661" s="65"/>
      <c r="E661" s="71"/>
      <c r="F661" s="67"/>
      <c r="G661" s="67"/>
      <c r="H661" s="67"/>
      <c r="I661" s="67"/>
      <c r="J661" s="67"/>
      <c r="K661" s="68"/>
      <c r="L661" s="69"/>
      <c r="M661" s="70"/>
      <c r="N661" s="71"/>
      <c r="O661" s="85"/>
    </row>
    <row r="662" spans="1:15" ht="30" customHeight="1">
      <c r="A662" s="76"/>
      <c r="B662" s="65"/>
      <c r="C662" s="65"/>
      <c r="D662" s="65"/>
      <c r="E662" s="71"/>
      <c r="F662" s="67"/>
      <c r="G662" s="67"/>
      <c r="H662" s="67"/>
      <c r="I662" s="67"/>
      <c r="J662" s="67"/>
      <c r="K662" s="68"/>
      <c r="L662" s="69"/>
      <c r="M662" s="70"/>
      <c r="N662" s="71"/>
      <c r="O662" s="85"/>
    </row>
    <row r="663" spans="1:15" ht="30" customHeight="1">
      <c r="A663" s="76"/>
      <c r="B663" s="65"/>
      <c r="C663" s="65"/>
      <c r="D663" s="65"/>
      <c r="E663" s="71"/>
      <c r="F663" s="67"/>
      <c r="G663" s="67"/>
      <c r="H663" s="67"/>
      <c r="I663" s="67"/>
      <c r="J663" s="67"/>
      <c r="K663" s="68"/>
      <c r="L663" s="69"/>
      <c r="M663" s="70"/>
      <c r="N663" s="71"/>
      <c r="O663" s="85"/>
    </row>
    <row r="664" spans="1:15" ht="30" customHeight="1">
      <c r="A664" s="76"/>
      <c r="B664" s="65"/>
      <c r="C664" s="65"/>
      <c r="D664" s="65"/>
      <c r="E664" s="71"/>
      <c r="F664" s="67"/>
      <c r="G664" s="67"/>
      <c r="H664" s="67"/>
      <c r="I664" s="67"/>
      <c r="J664" s="67"/>
      <c r="K664" s="68"/>
      <c r="L664" s="69"/>
      <c r="M664" s="70"/>
      <c r="N664" s="71"/>
      <c r="O664" s="85"/>
    </row>
    <row r="665" spans="1:15" ht="30" customHeight="1">
      <c r="A665" s="76"/>
      <c r="B665" s="65"/>
      <c r="C665" s="65"/>
      <c r="D665" s="65"/>
      <c r="E665" s="71"/>
      <c r="F665" s="67"/>
      <c r="G665" s="67"/>
      <c r="H665" s="67"/>
      <c r="I665" s="67"/>
      <c r="J665" s="67"/>
      <c r="K665" s="68"/>
      <c r="L665" s="69"/>
      <c r="M665" s="70"/>
      <c r="N665" s="71"/>
      <c r="O665" s="85"/>
    </row>
    <row r="666" spans="1:15" ht="30" customHeight="1">
      <c r="A666" s="76"/>
      <c r="B666" s="65"/>
      <c r="C666" s="65"/>
      <c r="D666" s="65"/>
      <c r="E666" s="71"/>
      <c r="F666" s="67"/>
      <c r="G666" s="67"/>
      <c r="H666" s="67"/>
      <c r="I666" s="67"/>
      <c r="J666" s="67"/>
      <c r="K666" s="68"/>
      <c r="L666" s="69"/>
      <c r="M666" s="70"/>
      <c r="N666" s="71"/>
      <c r="O666" s="85"/>
    </row>
    <row r="667" spans="1:15" ht="30" customHeight="1">
      <c r="A667" s="76"/>
      <c r="B667" s="65"/>
      <c r="C667" s="65"/>
      <c r="D667" s="65"/>
      <c r="E667" s="71"/>
      <c r="F667" s="67"/>
      <c r="G667" s="67"/>
      <c r="H667" s="67"/>
      <c r="I667" s="67"/>
      <c r="J667" s="67"/>
      <c r="K667" s="68"/>
      <c r="L667" s="69"/>
      <c r="M667" s="70"/>
      <c r="N667" s="71"/>
      <c r="O667" s="85"/>
    </row>
    <row r="668" spans="1:15" ht="30" customHeight="1">
      <c r="A668" s="76"/>
      <c r="B668" s="65"/>
      <c r="C668" s="65"/>
      <c r="D668" s="65"/>
      <c r="E668" s="71"/>
      <c r="F668" s="67"/>
      <c r="G668" s="67"/>
      <c r="H668" s="67"/>
      <c r="I668" s="67"/>
      <c r="J668" s="67"/>
      <c r="K668" s="68"/>
      <c r="L668" s="69"/>
      <c r="M668" s="70"/>
      <c r="N668" s="71"/>
      <c r="O668" s="85"/>
    </row>
    <row r="669" spans="1:15" ht="30" customHeight="1">
      <c r="A669" s="76"/>
      <c r="B669" s="65"/>
      <c r="C669" s="65"/>
      <c r="D669" s="65"/>
      <c r="E669" s="71"/>
      <c r="F669" s="67"/>
      <c r="G669" s="67"/>
      <c r="H669" s="67"/>
      <c r="I669" s="67"/>
      <c r="J669" s="67"/>
      <c r="K669" s="68"/>
      <c r="L669" s="69"/>
      <c r="M669" s="70"/>
      <c r="N669" s="71"/>
      <c r="O669" s="85"/>
    </row>
    <row r="670" spans="1:15" ht="30" customHeight="1">
      <c r="A670" s="76"/>
      <c r="B670" s="65"/>
      <c r="C670" s="65"/>
      <c r="D670" s="65"/>
      <c r="E670" s="71"/>
      <c r="F670" s="67"/>
      <c r="G670" s="67"/>
      <c r="H670" s="67"/>
      <c r="I670" s="67"/>
      <c r="J670" s="67"/>
      <c r="K670" s="68"/>
      <c r="L670" s="69"/>
      <c r="M670" s="70"/>
      <c r="N670" s="71"/>
      <c r="O670" s="85"/>
    </row>
    <row r="671" spans="1:15" ht="30" customHeight="1">
      <c r="A671" s="76"/>
      <c r="B671" s="65"/>
      <c r="C671" s="65"/>
      <c r="D671" s="65"/>
      <c r="E671" s="71"/>
      <c r="F671" s="67"/>
      <c r="G671" s="67"/>
      <c r="H671" s="67"/>
      <c r="I671" s="67"/>
      <c r="J671" s="67"/>
      <c r="K671" s="68"/>
      <c r="L671" s="69"/>
      <c r="M671" s="70"/>
      <c r="N671" s="71"/>
      <c r="O671" s="85"/>
    </row>
    <row r="672" spans="1:15" ht="30" customHeight="1">
      <c r="A672" s="76"/>
      <c r="B672" s="65"/>
      <c r="C672" s="65"/>
      <c r="D672" s="65"/>
      <c r="E672" s="71"/>
      <c r="F672" s="67"/>
      <c r="G672" s="67"/>
      <c r="H672" s="67"/>
      <c r="I672" s="67"/>
      <c r="J672" s="67"/>
      <c r="K672" s="68"/>
      <c r="L672" s="69"/>
      <c r="M672" s="70"/>
      <c r="N672" s="71"/>
      <c r="O672" s="85"/>
    </row>
    <row r="673" spans="1:15" ht="30" customHeight="1">
      <c r="A673" s="76"/>
      <c r="B673" s="65"/>
      <c r="C673" s="65"/>
      <c r="D673" s="65"/>
      <c r="E673" s="71"/>
      <c r="F673" s="67"/>
      <c r="G673" s="67"/>
      <c r="H673" s="67"/>
      <c r="I673" s="67"/>
      <c r="J673" s="67"/>
      <c r="K673" s="68"/>
      <c r="L673" s="69"/>
      <c r="M673" s="70"/>
      <c r="N673" s="71"/>
      <c r="O673" s="85"/>
    </row>
    <row r="674" spans="1:15" ht="30" customHeight="1">
      <c r="A674" s="76"/>
      <c r="B674" s="65"/>
      <c r="C674" s="65"/>
      <c r="D674" s="65"/>
      <c r="E674" s="71"/>
      <c r="F674" s="67"/>
      <c r="G674" s="67"/>
      <c r="H674" s="67"/>
      <c r="I674" s="67"/>
      <c r="J674" s="67"/>
      <c r="K674" s="68"/>
      <c r="L674" s="69"/>
      <c r="M674" s="70"/>
      <c r="N674" s="71"/>
      <c r="O674" s="85"/>
    </row>
    <row r="675" spans="1:15" ht="30" customHeight="1">
      <c r="A675" s="76"/>
      <c r="B675" s="65"/>
      <c r="C675" s="65"/>
      <c r="D675" s="65"/>
      <c r="E675" s="71"/>
      <c r="F675" s="67"/>
      <c r="G675" s="67"/>
      <c r="H675" s="67"/>
      <c r="I675" s="67"/>
      <c r="J675" s="67"/>
      <c r="K675" s="68"/>
      <c r="L675" s="69"/>
      <c r="M675" s="70"/>
      <c r="N675" s="71"/>
      <c r="O675" s="85"/>
    </row>
    <row r="676" spans="1:15" ht="30" customHeight="1">
      <c r="A676" s="76"/>
      <c r="B676" s="65"/>
      <c r="C676" s="65"/>
      <c r="D676" s="65"/>
      <c r="E676" s="71"/>
      <c r="F676" s="67"/>
      <c r="G676" s="67"/>
      <c r="H676" s="67"/>
      <c r="I676" s="67"/>
      <c r="J676" s="67"/>
      <c r="K676" s="68"/>
      <c r="L676" s="69"/>
      <c r="M676" s="70"/>
      <c r="N676" s="71"/>
      <c r="O676" s="85"/>
    </row>
    <row r="677" spans="1:15" ht="30" customHeight="1">
      <c r="A677" s="76"/>
      <c r="B677" s="65"/>
      <c r="C677" s="65"/>
      <c r="D677" s="65"/>
      <c r="E677" s="71"/>
      <c r="F677" s="67"/>
      <c r="G677" s="67"/>
      <c r="H677" s="67"/>
      <c r="I677" s="67"/>
      <c r="J677" s="67"/>
      <c r="K677" s="68"/>
      <c r="L677" s="69"/>
      <c r="M677" s="70"/>
      <c r="N677" s="71"/>
      <c r="O677" s="85"/>
    </row>
    <row r="678" spans="1:15" ht="30" customHeight="1">
      <c r="A678" s="76"/>
      <c r="B678" s="65"/>
      <c r="C678" s="65"/>
      <c r="D678" s="65"/>
      <c r="E678" s="71"/>
      <c r="F678" s="67"/>
      <c r="G678" s="67"/>
      <c r="H678" s="67"/>
      <c r="I678" s="67"/>
      <c r="J678" s="67"/>
      <c r="K678" s="68"/>
      <c r="L678" s="69"/>
      <c r="M678" s="70"/>
      <c r="N678" s="71"/>
      <c r="O678" s="85"/>
    </row>
    <row r="679" spans="1:15" ht="30" customHeight="1">
      <c r="A679" s="76"/>
      <c r="B679" s="65"/>
      <c r="C679" s="65"/>
      <c r="D679" s="65"/>
      <c r="E679" s="71"/>
      <c r="F679" s="67"/>
      <c r="G679" s="67"/>
      <c r="H679" s="67"/>
      <c r="I679" s="67"/>
      <c r="J679" s="67"/>
      <c r="K679" s="68"/>
      <c r="L679" s="69"/>
      <c r="M679" s="70"/>
      <c r="N679" s="71"/>
      <c r="O679" s="85"/>
    </row>
    <row r="680" spans="1:15" ht="30" customHeight="1">
      <c r="A680" s="76"/>
      <c r="B680" s="65"/>
      <c r="C680" s="65"/>
      <c r="D680" s="65"/>
      <c r="E680" s="71"/>
      <c r="F680" s="67"/>
      <c r="G680" s="67"/>
      <c r="H680" s="67"/>
      <c r="I680" s="67"/>
      <c r="J680" s="67"/>
      <c r="K680" s="68"/>
      <c r="L680" s="69"/>
      <c r="M680" s="70"/>
      <c r="N680" s="71"/>
      <c r="O680" s="85"/>
    </row>
    <row r="681" spans="1:15" ht="30" customHeight="1">
      <c r="A681" s="76"/>
      <c r="B681" s="65"/>
      <c r="C681" s="65"/>
      <c r="D681" s="65"/>
      <c r="E681" s="71"/>
      <c r="F681" s="67"/>
      <c r="G681" s="67"/>
      <c r="H681" s="67"/>
      <c r="I681" s="67"/>
      <c r="J681" s="67"/>
      <c r="K681" s="68"/>
      <c r="L681" s="69"/>
      <c r="M681" s="70"/>
      <c r="N681" s="71"/>
      <c r="O681" s="85"/>
    </row>
    <row r="682" spans="1:15" ht="30" customHeight="1">
      <c r="A682" s="76"/>
      <c r="B682" s="65"/>
      <c r="C682" s="65"/>
      <c r="D682" s="65"/>
      <c r="E682" s="71"/>
      <c r="F682" s="67"/>
      <c r="G682" s="67"/>
      <c r="H682" s="67"/>
      <c r="I682" s="67"/>
      <c r="J682" s="67"/>
      <c r="K682" s="68"/>
      <c r="L682" s="69"/>
      <c r="M682" s="70"/>
      <c r="N682" s="71"/>
      <c r="O682" s="85"/>
    </row>
    <row r="683" spans="1:15" ht="30" customHeight="1">
      <c r="A683" s="76"/>
      <c r="B683" s="65"/>
      <c r="C683" s="65"/>
      <c r="D683" s="65"/>
      <c r="E683" s="71"/>
      <c r="F683" s="67"/>
      <c r="G683" s="67"/>
      <c r="H683" s="67"/>
      <c r="I683" s="67"/>
      <c r="J683" s="67"/>
      <c r="K683" s="68"/>
      <c r="L683" s="69"/>
      <c r="M683" s="70"/>
      <c r="N683" s="71"/>
      <c r="O683" s="85"/>
    </row>
    <row r="684" spans="1:15" ht="30" customHeight="1">
      <c r="A684" s="76"/>
      <c r="B684" s="65"/>
      <c r="C684" s="65"/>
      <c r="D684" s="65"/>
      <c r="E684" s="71"/>
      <c r="F684" s="67"/>
      <c r="G684" s="67"/>
      <c r="H684" s="67"/>
      <c r="I684" s="67"/>
      <c r="J684" s="67"/>
      <c r="K684" s="68"/>
      <c r="L684" s="69"/>
      <c r="M684" s="70"/>
      <c r="N684" s="71"/>
      <c r="O684" s="85"/>
    </row>
    <row r="685" spans="1:15" ht="30" customHeight="1">
      <c r="A685" s="76"/>
      <c r="B685" s="65"/>
      <c r="C685" s="65"/>
      <c r="D685" s="65"/>
      <c r="E685" s="71"/>
      <c r="F685" s="67"/>
      <c r="G685" s="67"/>
      <c r="H685" s="67"/>
      <c r="I685" s="67"/>
      <c r="J685" s="67"/>
      <c r="K685" s="68"/>
      <c r="L685" s="69"/>
      <c r="M685" s="70"/>
      <c r="N685" s="71"/>
      <c r="O685" s="85"/>
    </row>
    <row r="686" spans="1:15" ht="30" customHeight="1">
      <c r="A686" s="76"/>
      <c r="B686" s="65"/>
      <c r="C686" s="65"/>
      <c r="D686" s="65"/>
      <c r="E686" s="71"/>
      <c r="F686" s="67"/>
      <c r="G686" s="67"/>
      <c r="H686" s="67"/>
      <c r="I686" s="67"/>
      <c r="J686" s="67"/>
      <c r="K686" s="68"/>
      <c r="L686" s="69"/>
      <c r="M686" s="70"/>
      <c r="N686" s="71"/>
      <c r="O686" s="85"/>
    </row>
    <row r="687" spans="1:15" ht="30" customHeight="1">
      <c r="A687" s="76"/>
      <c r="B687" s="65"/>
      <c r="C687" s="65"/>
      <c r="D687" s="65"/>
      <c r="E687" s="71"/>
      <c r="F687" s="67"/>
      <c r="G687" s="67"/>
      <c r="H687" s="67"/>
      <c r="I687" s="67"/>
      <c r="J687" s="67"/>
      <c r="K687" s="68"/>
      <c r="L687" s="69"/>
      <c r="M687" s="70"/>
      <c r="N687" s="71"/>
      <c r="O687" s="85"/>
    </row>
    <row r="688" spans="1:15" ht="30" customHeight="1">
      <c r="A688" s="76"/>
      <c r="B688" s="65"/>
      <c r="C688" s="65"/>
      <c r="D688" s="65"/>
      <c r="E688" s="71"/>
      <c r="F688" s="67"/>
      <c r="G688" s="67"/>
      <c r="H688" s="67"/>
      <c r="I688" s="67"/>
      <c r="J688" s="67"/>
      <c r="K688" s="68"/>
      <c r="L688" s="69"/>
      <c r="M688" s="70"/>
      <c r="N688" s="71"/>
      <c r="O688" s="85"/>
    </row>
    <row r="689" spans="1:15" ht="30" customHeight="1">
      <c r="A689" s="76"/>
      <c r="B689" s="65"/>
      <c r="C689" s="65"/>
      <c r="D689" s="65"/>
      <c r="E689" s="71"/>
      <c r="F689" s="67"/>
      <c r="G689" s="67"/>
      <c r="H689" s="67"/>
      <c r="I689" s="67"/>
      <c r="J689" s="67"/>
      <c r="K689" s="68"/>
      <c r="L689" s="69"/>
      <c r="M689" s="70"/>
      <c r="N689" s="71"/>
      <c r="O689" s="85"/>
    </row>
    <row r="690" spans="1:15" ht="30" customHeight="1">
      <c r="A690" s="76"/>
      <c r="B690" s="65"/>
      <c r="C690" s="65"/>
      <c r="D690" s="65"/>
      <c r="E690" s="71"/>
      <c r="F690" s="67"/>
      <c r="G690" s="67"/>
      <c r="H690" s="67"/>
      <c r="I690" s="67"/>
      <c r="J690" s="67"/>
      <c r="K690" s="68"/>
      <c r="L690" s="69"/>
      <c r="M690" s="70"/>
      <c r="N690" s="71"/>
      <c r="O690" s="85"/>
    </row>
    <row r="691" spans="1:15" ht="30" customHeight="1">
      <c r="A691" s="76"/>
      <c r="B691" s="65"/>
      <c r="C691" s="65"/>
      <c r="D691" s="65"/>
      <c r="E691" s="71"/>
      <c r="F691" s="67"/>
      <c r="G691" s="67"/>
      <c r="H691" s="67"/>
      <c r="I691" s="67"/>
      <c r="J691" s="67"/>
      <c r="K691" s="68"/>
      <c r="L691" s="69"/>
      <c r="M691" s="70"/>
      <c r="N691" s="71"/>
      <c r="O691" s="85"/>
    </row>
    <row r="692" spans="1:15" ht="30" customHeight="1">
      <c r="A692" s="76"/>
      <c r="B692" s="65"/>
      <c r="C692" s="65"/>
      <c r="D692" s="65"/>
      <c r="E692" s="71"/>
      <c r="F692" s="67"/>
      <c r="G692" s="67"/>
      <c r="H692" s="67"/>
      <c r="I692" s="67"/>
      <c r="J692" s="67"/>
      <c r="K692" s="68"/>
      <c r="L692" s="69"/>
      <c r="M692" s="70"/>
      <c r="N692" s="71"/>
      <c r="O692" s="85"/>
    </row>
    <row r="693" spans="1:15" ht="30" customHeight="1">
      <c r="A693" s="76"/>
      <c r="B693" s="65"/>
      <c r="C693" s="65"/>
      <c r="D693" s="65"/>
      <c r="E693" s="71"/>
      <c r="F693" s="67"/>
      <c r="G693" s="67"/>
      <c r="H693" s="67"/>
      <c r="I693" s="67"/>
      <c r="J693" s="67"/>
      <c r="K693" s="68"/>
      <c r="L693" s="69"/>
      <c r="M693" s="70"/>
      <c r="N693" s="71"/>
      <c r="O693" s="85"/>
    </row>
    <row r="694" spans="1:15" ht="30" customHeight="1">
      <c r="A694" s="76"/>
      <c r="B694" s="65"/>
      <c r="C694" s="65"/>
      <c r="D694" s="65"/>
      <c r="E694" s="71"/>
      <c r="F694" s="67"/>
      <c r="G694" s="67"/>
      <c r="H694" s="67"/>
      <c r="I694" s="67"/>
      <c r="J694" s="67"/>
      <c r="K694" s="68"/>
      <c r="L694" s="69"/>
      <c r="M694" s="70"/>
      <c r="N694" s="71"/>
      <c r="O694" s="85"/>
    </row>
    <row r="695" spans="1:15" ht="30" customHeight="1">
      <c r="A695" s="76"/>
      <c r="B695" s="65"/>
      <c r="C695" s="65"/>
      <c r="D695" s="65"/>
      <c r="E695" s="71"/>
      <c r="F695" s="67"/>
      <c r="G695" s="67"/>
      <c r="H695" s="67"/>
      <c r="I695" s="67"/>
      <c r="J695" s="67"/>
      <c r="K695" s="68"/>
      <c r="L695" s="69"/>
      <c r="M695" s="70"/>
      <c r="N695" s="71"/>
      <c r="O695" s="85"/>
    </row>
    <row r="696" spans="1:15" ht="30" customHeight="1">
      <c r="A696" s="76"/>
      <c r="B696" s="65"/>
      <c r="C696" s="65"/>
      <c r="D696" s="65"/>
      <c r="E696" s="71"/>
      <c r="F696" s="67"/>
      <c r="G696" s="67"/>
      <c r="H696" s="67"/>
      <c r="I696" s="67"/>
      <c r="J696" s="67"/>
      <c r="K696" s="68"/>
      <c r="L696" s="69"/>
      <c r="M696" s="70"/>
      <c r="N696" s="71"/>
      <c r="O696" s="85"/>
    </row>
    <row r="697" spans="1:15" ht="30" customHeight="1">
      <c r="A697" s="76"/>
      <c r="B697" s="65"/>
      <c r="C697" s="65"/>
      <c r="D697" s="65"/>
      <c r="E697" s="71"/>
      <c r="F697" s="67"/>
      <c r="G697" s="67"/>
      <c r="H697" s="67"/>
      <c r="I697" s="67"/>
      <c r="J697" s="67"/>
      <c r="K697" s="68"/>
      <c r="L697" s="69"/>
      <c r="M697" s="70"/>
      <c r="N697" s="71"/>
      <c r="O697" s="85"/>
    </row>
    <row r="698" spans="1:15" ht="30" customHeight="1">
      <c r="A698" s="76"/>
      <c r="B698" s="65"/>
      <c r="C698" s="65"/>
      <c r="D698" s="65"/>
      <c r="E698" s="71"/>
      <c r="F698" s="67"/>
      <c r="G698" s="67"/>
      <c r="H698" s="67"/>
      <c r="I698" s="67"/>
      <c r="J698" s="67"/>
      <c r="K698" s="68"/>
      <c r="L698" s="69"/>
      <c r="M698" s="70"/>
      <c r="N698" s="71"/>
      <c r="O698" s="85"/>
    </row>
    <row r="699" spans="1:15" ht="30" customHeight="1">
      <c r="A699" s="76"/>
      <c r="B699" s="65"/>
      <c r="C699" s="65"/>
      <c r="D699" s="65"/>
      <c r="E699" s="71"/>
      <c r="F699" s="67"/>
      <c r="G699" s="67"/>
      <c r="H699" s="67"/>
      <c r="I699" s="67"/>
      <c r="J699" s="67"/>
      <c r="K699" s="68"/>
      <c r="L699" s="69"/>
      <c r="M699" s="70"/>
      <c r="N699" s="71"/>
      <c r="O699" s="85"/>
    </row>
    <row r="700" spans="1:15" ht="30" customHeight="1">
      <c r="A700" s="76"/>
      <c r="B700" s="65"/>
      <c r="C700" s="65"/>
      <c r="D700" s="65"/>
      <c r="E700" s="71"/>
      <c r="F700" s="67"/>
      <c r="G700" s="67"/>
      <c r="H700" s="67"/>
      <c r="I700" s="67"/>
      <c r="J700" s="67"/>
      <c r="K700" s="68"/>
      <c r="L700" s="69"/>
      <c r="M700" s="70"/>
      <c r="N700" s="71"/>
      <c r="O700" s="85"/>
    </row>
    <row r="701" spans="1:15" ht="30" customHeight="1">
      <c r="A701" s="76"/>
      <c r="B701" s="65"/>
      <c r="C701" s="65"/>
      <c r="D701" s="65"/>
      <c r="E701" s="71"/>
      <c r="F701" s="67"/>
      <c r="G701" s="67"/>
      <c r="H701" s="67"/>
      <c r="I701" s="67"/>
      <c r="J701" s="67"/>
      <c r="K701" s="68"/>
      <c r="L701" s="69"/>
      <c r="M701" s="70"/>
      <c r="N701" s="71"/>
      <c r="O701" s="85"/>
    </row>
    <row r="702" spans="1:15" ht="30" customHeight="1">
      <c r="A702" s="76"/>
      <c r="B702" s="65"/>
      <c r="C702" s="65"/>
      <c r="D702" s="65"/>
      <c r="E702" s="71"/>
      <c r="F702" s="67"/>
      <c r="G702" s="67"/>
      <c r="H702" s="67"/>
      <c r="I702" s="67"/>
      <c r="J702" s="67"/>
      <c r="K702" s="68"/>
      <c r="L702" s="69"/>
      <c r="M702" s="70"/>
      <c r="N702" s="71"/>
      <c r="O702" s="85"/>
    </row>
    <row r="703" spans="1:15" ht="30" customHeight="1">
      <c r="A703" s="76"/>
      <c r="B703" s="65"/>
      <c r="C703" s="65"/>
      <c r="D703" s="65"/>
      <c r="E703" s="71"/>
      <c r="F703" s="67"/>
      <c r="G703" s="67"/>
      <c r="H703" s="67"/>
      <c r="I703" s="67"/>
      <c r="J703" s="67"/>
      <c r="K703" s="68"/>
      <c r="L703" s="69"/>
      <c r="M703" s="70"/>
      <c r="N703" s="71"/>
      <c r="O703" s="85"/>
    </row>
    <row r="704" spans="1:15" ht="30" customHeight="1">
      <c r="A704" s="76"/>
      <c r="B704" s="65"/>
      <c r="C704" s="65"/>
      <c r="D704" s="65"/>
      <c r="E704" s="71"/>
      <c r="F704" s="67"/>
      <c r="G704" s="67"/>
      <c r="H704" s="67"/>
      <c r="I704" s="67"/>
      <c r="J704" s="67"/>
      <c r="K704" s="68"/>
      <c r="L704" s="69"/>
      <c r="M704" s="70"/>
      <c r="N704" s="71"/>
      <c r="O704" s="85"/>
    </row>
    <row r="705" spans="1:15" ht="30" customHeight="1">
      <c r="A705" s="76"/>
      <c r="B705" s="65"/>
      <c r="C705" s="65"/>
      <c r="D705" s="65"/>
      <c r="E705" s="71"/>
      <c r="F705" s="67"/>
      <c r="G705" s="67"/>
      <c r="H705" s="67"/>
      <c r="I705" s="67"/>
      <c r="J705" s="67"/>
      <c r="K705" s="68"/>
      <c r="L705" s="69"/>
      <c r="M705" s="70"/>
      <c r="N705" s="71"/>
      <c r="O705" s="85"/>
    </row>
    <row r="706" spans="1:15" ht="30" customHeight="1">
      <c r="A706" s="76"/>
      <c r="B706" s="65"/>
      <c r="C706" s="65"/>
      <c r="D706" s="65"/>
      <c r="E706" s="71"/>
      <c r="F706" s="67"/>
      <c r="G706" s="67"/>
      <c r="H706" s="67"/>
      <c r="I706" s="67"/>
      <c r="J706" s="67"/>
      <c r="K706" s="68"/>
      <c r="L706" s="69"/>
      <c r="M706" s="70"/>
      <c r="N706" s="71"/>
      <c r="O706" s="85"/>
    </row>
    <row r="707" spans="1:15" ht="30" customHeight="1">
      <c r="A707" s="76"/>
      <c r="B707" s="65"/>
      <c r="C707" s="65"/>
      <c r="D707" s="65"/>
      <c r="E707" s="71"/>
      <c r="F707" s="67"/>
      <c r="G707" s="67"/>
      <c r="H707" s="67"/>
      <c r="I707" s="67"/>
      <c r="J707" s="67"/>
      <c r="K707" s="68"/>
      <c r="L707" s="69"/>
      <c r="M707" s="70"/>
      <c r="N707" s="71"/>
      <c r="O707" s="85"/>
    </row>
    <row r="708" spans="1:15" ht="30" customHeight="1">
      <c r="A708" s="76"/>
      <c r="B708" s="65"/>
      <c r="C708" s="65"/>
      <c r="D708" s="65"/>
      <c r="E708" s="71"/>
      <c r="F708" s="67"/>
      <c r="G708" s="67"/>
      <c r="H708" s="67"/>
      <c r="I708" s="67"/>
      <c r="J708" s="67"/>
      <c r="K708" s="68"/>
      <c r="L708" s="69"/>
      <c r="M708" s="70"/>
      <c r="N708" s="71"/>
      <c r="O708" s="85"/>
    </row>
    <row r="709" spans="1:15" ht="30" customHeight="1">
      <c r="A709" s="76"/>
      <c r="B709" s="65"/>
      <c r="C709" s="65"/>
      <c r="D709" s="65"/>
      <c r="E709" s="71"/>
      <c r="F709" s="67"/>
      <c r="G709" s="67"/>
      <c r="H709" s="67"/>
      <c r="I709" s="67"/>
      <c r="J709" s="67"/>
      <c r="K709" s="68"/>
      <c r="L709" s="69"/>
      <c r="M709" s="70"/>
      <c r="N709" s="71"/>
      <c r="O709" s="85"/>
    </row>
    <row r="710" spans="1:15" ht="30" customHeight="1">
      <c r="A710" s="76"/>
      <c r="B710" s="65"/>
      <c r="C710" s="65"/>
      <c r="D710" s="65"/>
      <c r="E710" s="71"/>
      <c r="F710" s="67"/>
      <c r="G710" s="67"/>
      <c r="H710" s="67"/>
      <c r="I710" s="67"/>
      <c r="J710" s="67"/>
      <c r="K710" s="68"/>
      <c r="L710" s="69"/>
      <c r="M710" s="70"/>
      <c r="N710" s="71"/>
      <c r="O710" s="85"/>
    </row>
    <row r="711" spans="1:15" ht="30" customHeight="1">
      <c r="A711" s="76"/>
      <c r="B711" s="65"/>
      <c r="C711" s="65"/>
      <c r="D711" s="65"/>
      <c r="E711" s="71"/>
      <c r="F711" s="67"/>
      <c r="G711" s="67"/>
      <c r="H711" s="67"/>
      <c r="I711" s="67"/>
      <c r="J711" s="67"/>
      <c r="K711" s="68"/>
      <c r="L711" s="69"/>
      <c r="M711" s="70"/>
      <c r="N711" s="71"/>
      <c r="O711" s="85"/>
    </row>
    <row r="712" spans="1:15" ht="30" customHeight="1">
      <c r="A712" s="76"/>
      <c r="B712" s="65"/>
      <c r="C712" s="65"/>
      <c r="D712" s="65"/>
      <c r="E712" s="71"/>
      <c r="F712" s="67"/>
      <c r="G712" s="67"/>
      <c r="H712" s="67"/>
      <c r="I712" s="67"/>
      <c r="J712" s="67"/>
      <c r="K712" s="68"/>
      <c r="L712" s="69"/>
      <c r="M712" s="70"/>
      <c r="N712" s="71"/>
      <c r="O712" s="85"/>
    </row>
    <row r="713" spans="1:15" ht="30" customHeight="1">
      <c r="A713" s="76"/>
      <c r="B713" s="65"/>
      <c r="C713" s="65"/>
      <c r="D713" s="65"/>
      <c r="E713" s="71"/>
      <c r="F713" s="67"/>
      <c r="G713" s="67"/>
      <c r="H713" s="67"/>
      <c r="I713" s="67"/>
      <c r="J713" s="67"/>
      <c r="K713" s="68"/>
      <c r="L713" s="69"/>
      <c r="M713" s="70"/>
      <c r="N713" s="71"/>
      <c r="O713" s="85"/>
    </row>
    <row r="714" spans="1:15" ht="30" customHeight="1">
      <c r="A714" s="76"/>
      <c r="B714" s="65"/>
      <c r="C714" s="65"/>
      <c r="D714" s="65"/>
      <c r="E714" s="71"/>
      <c r="F714" s="67"/>
      <c r="G714" s="67"/>
      <c r="H714" s="67"/>
      <c r="I714" s="67"/>
      <c r="J714" s="67"/>
      <c r="K714" s="68"/>
      <c r="L714" s="69"/>
      <c r="M714" s="70"/>
      <c r="N714" s="71"/>
      <c r="O714" s="85"/>
    </row>
    <row r="715" spans="1:15" ht="30" customHeight="1">
      <c r="A715" s="76"/>
      <c r="B715" s="65"/>
      <c r="C715" s="65"/>
      <c r="D715" s="65"/>
      <c r="E715" s="71"/>
      <c r="F715" s="67"/>
      <c r="G715" s="67"/>
      <c r="H715" s="67"/>
      <c r="I715" s="67"/>
      <c r="J715" s="67"/>
      <c r="K715" s="68"/>
      <c r="L715" s="69"/>
      <c r="M715" s="70"/>
      <c r="N715" s="71"/>
      <c r="O715" s="85"/>
    </row>
    <row r="716" spans="1:15" ht="30" customHeight="1">
      <c r="A716" s="76"/>
      <c r="B716" s="65"/>
      <c r="C716" s="65"/>
      <c r="D716" s="65"/>
      <c r="E716" s="71"/>
      <c r="F716" s="67"/>
      <c r="G716" s="67"/>
      <c r="H716" s="67"/>
      <c r="I716" s="67"/>
      <c r="J716" s="67"/>
      <c r="K716" s="68"/>
      <c r="L716" s="69"/>
      <c r="M716" s="70"/>
      <c r="N716" s="71"/>
      <c r="O716" s="85"/>
    </row>
    <row r="717" spans="1:15" ht="30" customHeight="1">
      <c r="A717" s="76"/>
      <c r="B717" s="65"/>
      <c r="C717" s="65"/>
      <c r="D717" s="65"/>
      <c r="E717" s="71"/>
      <c r="F717" s="67"/>
      <c r="G717" s="67"/>
      <c r="H717" s="67"/>
      <c r="I717" s="67"/>
      <c r="J717" s="67"/>
      <c r="K717" s="68"/>
      <c r="L717" s="69"/>
      <c r="M717" s="70"/>
      <c r="N717" s="71"/>
      <c r="O717" s="85"/>
    </row>
    <row r="718" spans="1:15" ht="30" customHeight="1">
      <c r="A718" s="76"/>
      <c r="B718" s="65"/>
      <c r="C718" s="65"/>
      <c r="D718" s="65"/>
      <c r="E718" s="71"/>
      <c r="F718" s="67"/>
      <c r="G718" s="67"/>
      <c r="H718" s="67"/>
      <c r="I718" s="67"/>
      <c r="J718" s="67"/>
      <c r="K718" s="68"/>
      <c r="L718" s="69"/>
      <c r="M718" s="70"/>
      <c r="N718" s="71"/>
      <c r="O718" s="85"/>
    </row>
    <row r="719" spans="1:15" ht="30" customHeight="1">
      <c r="A719" s="76"/>
      <c r="B719" s="65"/>
      <c r="C719" s="65"/>
      <c r="D719" s="65"/>
      <c r="E719" s="71"/>
      <c r="F719" s="67"/>
      <c r="G719" s="67"/>
      <c r="H719" s="67"/>
      <c r="I719" s="67"/>
      <c r="J719" s="67"/>
      <c r="K719" s="68"/>
      <c r="L719" s="69"/>
      <c r="M719" s="70"/>
      <c r="N719" s="71"/>
      <c r="O719" s="85"/>
    </row>
    <row r="720" spans="1:15" ht="30" customHeight="1">
      <c r="A720" s="76"/>
      <c r="B720" s="65"/>
      <c r="C720" s="65"/>
      <c r="D720" s="65"/>
      <c r="E720" s="71"/>
      <c r="F720" s="67"/>
      <c r="G720" s="67"/>
      <c r="H720" s="67"/>
      <c r="I720" s="67"/>
      <c r="J720" s="67"/>
      <c r="K720" s="68"/>
      <c r="L720" s="69"/>
      <c r="M720" s="70"/>
      <c r="N720" s="71"/>
      <c r="O720" s="85"/>
    </row>
    <row r="721" spans="1:15" ht="30" customHeight="1">
      <c r="A721" s="76"/>
      <c r="B721" s="65"/>
      <c r="C721" s="65"/>
      <c r="D721" s="65"/>
      <c r="E721" s="71"/>
      <c r="F721" s="67"/>
      <c r="G721" s="67"/>
      <c r="H721" s="67"/>
      <c r="I721" s="67"/>
      <c r="J721" s="67"/>
      <c r="K721" s="68"/>
      <c r="L721" s="69"/>
      <c r="M721" s="70"/>
      <c r="N721" s="71"/>
      <c r="O721" s="85"/>
    </row>
    <row r="722" spans="1:15" ht="30" customHeight="1">
      <c r="A722" s="76"/>
      <c r="B722" s="65"/>
      <c r="C722" s="65"/>
      <c r="D722" s="65"/>
      <c r="E722" s="71"/>
      <c r="F722" s="67"/>
      <c r="G722" s="67"/>
      <c r="H722" s="67"/>
      <c r="I722" s="67"/>
      <c r="J722" s="67"/>
      <c r="K722" s="68"/>
      <c r="L722" s="69"/>
      <c r="M722" s="70"/>
      <c r="N722" s="71"/>
      <c r="O722" s="85"/>
    </row>
    <row r="723" spans="1:15" ht="30" customHeight="1">
      <c r="A723" s="76"/>
      <c r="B723" s="65"/>
      <c r="C723" s="65"/>
      <c r="D723" s="65"/>
      <c r="E723" s="71"/>
      <c r="F723" s="67"/>
      <c r="G723" s="67"/>
      <c r="H723" s="67"/>
      <c r="I723" s="67"/>
      <c r="J723" s="67"/>
      <c r="K723" s="68"/>
      <c r="L723" s="69"/>
      <c r="M723" s="70"/>
      <c r="N723" s="71"/>
      <c r="O723" s="85"/>
    </row>
    <row r="724" spans="1:15" ht="30" customHeight="1">
      <c r="A724" s="76"/>
      <c r="B724" s="65"/>
      <c r="C724" s="65"/>
      <c r="D724" s="65"/>
      <c r="E724" s="71"/>
      <c r="F724" s="67"/>
      <c r="G724" s="67"/>
      <c r="H724" s="67"/>
      <c r="I724" s="67"/>
      <c r="J724" s="67"/>
      <c r="K724" s="68"/>
      <c r="L724" s="69"/>
      <c r="M724" s="70"/>
      <c r="N724" s="71"/>
      <c r="O724" s="85"/>
    </row>
    <row r="725" spans="1:15" ht="30" customHeight="1">
      <c r="A725" s="76"/>
      <c r="B725" s="65"/>
      <c r="C725" s="65"/>
      <c r="D725" s="65"/>
      <c r="E725" s="71"/>
      <c r="F725" s="67"/>
      <c r="G725" s="67"/>
      <c r="H725" s="67"/>
      <c r="I725" s="67"/>
      <c r="J725" s="67"/>
      <c r="K725" s="68"/>
      <c r="L725" s="69"/>
      <c r="M725" s="70"/>
      <c r="N725" s="71"/>
      <c r="O725" s="85"/>
    </row>
    <row r="726" spans="1:15" ht="30" customHeight="1">
      <c r="A726" s="76"/>
      <c r="B726" s="65"/>
      <c r="C726" s="65"/>
      <c r="D726" s="65"/>
      <c r="E726" s="71"/>
      <c r="F726" s="67"/>
      <c r="G726" s="67"/>
      <c r="H726" s="67"/>
      <c r="I726" s="67"/>
      <c r="J726" s="67"/>
      <c r="K726" s="68"/>
      <c r="L726" s="69"/>
      <c r="M726" s="70"/>
      <c r="N726" s="71"/>
      <c r="O726" s="85"/>
    </row>
    <row r="727" spans="1:15" ht="30" customHeight="1">
      <c r="A727" s="76"/>
      <c r="B727" s="65"/>
      <c r="C727" s="65"/>
      <c r="D727" s="65"/>
      <c r="E727" s="71"/>
      <c r="F727" s="67"/>
      <c r="G727" s="67"/>
      <c r="H727" s="67"/>
      <c r="I727" s="67"/>
      <c r="J727" s="67"/>
      <c r="K727" s="68"/>
      <c r="L727" s="69"/>
      <c r="M727" s="70"/>
      <c r="N727" s="71"/>
      <c r="O727" s="85"/>
    </row>
    <row r="728" spans="1:15" ht="30" customHeight="1">
      <c r="A728" s="76"/>
      <c r="B728" s="65"/>
      <c r="C728" s="65"/>
      <c r="D728" s="65"/>
      <c r="E728" s="71"/>
      <c r="F728" s="67"/>
      <c r="G728" s="67"/>
      <c r="H728" s="67"/>
      <c r="I728" s="67"/>
      <c r="J728" s="67"/>
      <c r="K728" s="68"/>
      <c r="L728" s="69"/>
      <c r="M728" s="70"/>
      <c r="N728" s="71"/>
      <c r="O728" s="85"/>
    </row>
    <row r="729" spans="1:15" ht="30" customHeight="1">
      <c r="A729" s="76"/>
      <c r="B729" s="65"/>
      <c r="C729" s="65"/>
      <c r="D729" s="65"/>
      <c r="E729" s="71"/>
      <c r="F729" s="67"/>
      <c r="G729" s="67"/>
      <c r="H729" s="67"/>
      <c r="I729" s="67"/>
      <c r="J729" s="67"/>
      <c r="K729" s="68"/>
      <c r="L729" s="69"/>
      <c r="M729" s="70"/>
      <c r="N729" s="71"/>
      <c r="O729" s="85"/>
    </row>
    <row r="730" spans="1:15" ht="30" customHeight="1">
      <c r="A730" s="76"/>
      <c r="B730" s="65"/>
      <c r="C730" s="65"/>
      <c r="D730" s="65"/>
      <c r="E730" s="71"/>
      <c r="F730" s="67"/>
      <c r="G730" s="67"/>
      <c r="H730" s="67"/>
      <c r="I730" s="67"/>
      <c r="J730" s="67"/>
      <c r="K730" s="68"/>
      <c r="L730" s="69"/>
      <c r="M730" s="70"/>
      <c r="N730" s="71"/>
      <c r="O730" s="85"/>
    </row>
    <row r="731" spans="1:15" ht="30" customHeight="1">
      <c r="A731" s="76"/>
      <c r="B731" s="65"/>
      <c r="C731" s="65"/>
      <c r="D731" s="65"/>
      <c r="E731" s="71"/>
      <c r="F731" s="67"/>
      <c r="G731" s="67"/>
      <c r="H731" s="67"/>
      <c r="I731" s="67"/>
      <c r="J731" s="67"/>
      <c r="K731" s="68"/>
      <c r="L731" s="69"/>
      <c r="M731" s="70"/>
      <c r="N731" s="71"/>
      <c r="O731" s="85"/>
    </row>
    <row r="732" spans="1:15" ht="30" customHeight="1">
      <c r="A732" s="76"/>
      <c r="B732" s="65"/>
      <c r="C732" s="65"/>
      <c r="D732" s="65"/>
      <c r="E732" s="71"/>
      <c r="F732" s="67"/>
      <c r="G732" s="67"/>
      <c r="H732" s="67"/>
      <c r="I732" s="67"/>
      <c r="J732" s="67"/>
      <c r="K732" s="68"/>
      <c r="L732" s="69"/>
      <c r="M732" s="70"/>
      <c r="N732" s="71"/>
      <c r="O732" s="85"/>
    </row>
    <row r="733" spans="1:15" ht="30" customHeight="1">
      <c r="A733" s="76"/>
      <c r="B733" s="65"/>
      <c r="C733" s="65"/>
      <c r="D733" s="65"/>
      <c r="E733" s="71"/>
      <c r="F733" s="67"/>
      <c r="G733" s="67"/>
      <c r="H733" s="67"/>
      <c r="I733" s="67"/>
      <c r="J733" s="67"/>
      <c r="K733" s="68"/>
      <c r="L733" s="69"/>
      <c r="M733" s="70"/>
      <c r="N733" s="71"/>
      <c r="O733" s="85"/>
    </row>
    <row r="734" spans="1:15" ht="30" customHeight="1">
      <c r="A734" s="76"/>
      <c r="B734" s="65"/>
      <c r="C734" s="65"/>
      <c r="D734" s="65"/>
      <c r="E734" s="71"/>
      <c r="F734" s="67"/>
      <c r="G734" s="67"/>
      <c r="H734" s="67"/>
      <c r="I734" s="67"/>
      <c r="J734" s="67"/>
      <c r="K734" s="68"/>
      <c r="L734" s="69"/>
      <c r="M734" s="70"/>
      <c r="N734" s="71"/>
      <c r="O734" s="85"/>
    </row>
    <row r="735" spans="1:15" ht="30" customHeight="1">
      <c r="A735" s="76"/>
      <c r="B735" s="65"/>
      <c r="C735" s="65"/>
      <c r="D735" s="65"/>
      <c r="E735" s="71"/>
      <c r="F735" s="67"/>
      <c r="G735" s="67"/>
      <c r="H735" s="67"/>
      <c r="I735" s="67"/>
      <c r="J735" s="67"/>
      <c r="K735" s="68"/>
      <c r="L735" s="69"/>
      <c r="M735" s="70"/>
      <c r="N735" s="71"/>
      <c r="O735" s="85"/>
    </row>
    <row r="736" spans="1:15" ht="30" customHeight="1">
      <c r="A736" s="76"/>
      <c r="B736" s="65"/>
      <c r="C736" s="65"/>
      <c r="D736" s="65"/>
      <c r="E736" s="71"/>
      <c r="F736" s="67"/>
      <c r="G736" s="67"/>
      <c r="H736" s="67"/>
      <c r="I736" s="67"/>
      <c r="J736" s="67"/>
      <c r="K736" s="68"/>
      <c r="L736" s="69"/>
      <c r="M736" s="70"/>
      <c r="N736" s="71"/>
      <c r="O736" s="85"/>
    </row>
    <row r="737" spans="1:15" ht="30" customHeight="1">
      <c r="A737" s="76"/>
      <c r="B737" s="65"/>
      <c r="C737" s="65"/>
      <c r="D737" s="65"/>
      <c r="E737" s="71"/>
      <c r="F737" s="67"/>
      <c r="G737" s="67"/>
      <c r="H737" s="67"/>
      <c r="I737" s="67"/>
      <c r="J737" s="67"/>
      <c r="K737" s="68"/>
      <c r="L737" s="69"/>
      <c r="M737" s="70"/>
      <c r="N737" s="71"/>
      <c r="O737" s="85"/>
    </row>
    <row r="738" spans="1:15" ht="30" customHeight="1">
      <c r="A738" s="76"/>
      <c r="B738" s="65"/>
      <c r="C738" s="65"/>
      <c r="D738" s="65"/>
      <c r="E738" s="71"/>
      <c r="F738" s="67"/>
      <c r="G738" s="67"/>
      <c r="H738" s="67"/>
      <c r="I738" s="67"/>
      <c r="J738" s="67"/>
      <c r="K738" s="68"/>
      <c r="L738" s="69"/>
      <c r="M738" s="70"/>
      <c r="N738" s="71"/>
      <c r="O738" s="85"/>
    </row>
    <row r="739" spans="1:15" ht="30" customHeight="1">
      <c r="A739" s="76"/>
      <c r="B739" s="65"/>
      <c r="C739" s="65"/>
      <c r="D739" s="65"/>
      <c r="E739" s="71"/>
      <c r="F739" s="67"/>
      <c r="G739" s="67"/>
      <c r="H739" s="67"/>
      <c r="I739" s="67"/>
      <c r="J739" s="67"/>
      <c r="K739" s="68"/>
      <c r="L739" s="69"/>
      <c r="M739" s="70"/>
      <c r="N739" s="71"/>
      <c r="O739" s="85"/>
    </row>
    <row r="740" spans="1:15" ht="30" customHeight="1">
      <c r="A740" s="76"/>
      <c r="B740" s="65"/>
      <c r="C740" s="65"/>
      <c r="D740" s="65"/>
      <c r="E740" s="71"/>
      <c r="F740" s="67"/>
      <c r="G740" s="67"/>
      <c r="H740" s="67"/>
      <c r="I740" s="67"/>
      <c r="J740" s="67"/>
      <c r="K740" s="68"/>
      <c r="L740" s="69"/>
      <c r="M740" s="70"/>
      <c r="N740" s="71"/>
      <c r="O740" s="85"/>
    </row>
    <row r="741" spans="1:15" ht="30" customHeight="1">
      <c r="A741" s="76"/>
      <c r="B741" s="65"/>
      <c r="C741" s="65"/>
      <c r="D741" s="65"/>
      <c r="E741" s="71"/>
      <c r="F741" s="67"/>
      <c r="G741" s="67"/>
      <c r="H741" s="67"/>
      <c r="I741" s="67"/>
      <c r="J741" s="67"/>
      <c r="K741" s="68"/>
      <c r="L741" s="69"/>
      <c r="M741" s="70"/>
      <c r="N741" s="71"/>
      <c r="O741" s="85"/>
    </row>
    <row r="742" spans="1:15" ht="30" customHeight="1">
      <c r="A742" s="76"/>
      <c r="B742" s="65"/>
      <c r="C742" s="65"/>
      <c r="D742" s="65"/>
      <c r="E742" s="71"/>
      <c r="F742" s="67"/>
      <c r="G742" s="67"/>
      <c r="H742" s="67"/>
      <c r="I742" s="67"/>
      <c r="J742" s="67"/>
      <c r="K742" s="68"/>
      <c r="L742" s="69"/>
      <c r="M742" s="70"/>
      <c r="N742" s="71"/>
      <c r="O742" s="85"/>
    </row>
    <row r="743" spans="1:15" ht="30" customHeight="1">
      <c r="A743" s="76"/>
      <c r="B743" s="65"/>
      <c r="C743" s="65"/>
      <c r="D743" s="65"/>
      <c r="E743" s="71"/>
      <c r="F743" s="67"/>
      <c r="G743" s="67"/>
      <c r="H743" s="67"/>
      <c r="I743" s="67"/>
      <c r="J743" s="67"/>
      <c r="K743" s="68"/>
      <c r="L743" s="69"/>
      <c r="M743" s="70"/>
      <c r="N743" s="71"/>
      <c r="O743" s="85"/>
    </row>
    <row r="744" spans="1:15" ht="30" customHeight="1">
      <c r="A744" s="76"/>
      <c r="B744" s="65"/>
      <c r="C744" s="65"/>
      <c r="D744" s="65"/>
      <c r="E744" s="71"/>
      <c r="F744" s="67"/>
      <c r="G744" s="67"/>
      <c r="H744" s="67"/>
      <c r="I744" s="67"/>
      <c r="J744" s="67"/>
      <c r="K744" s="68"/>
      <c r="L744" s="69"/>
      <c r="M744" s="70"/>
      <c r="N744" s="71"/>
      <c r="O744" s="85"/>
    </row>
    <row r="745" spans="1:15" ht="30" customHeight="1">
      <c r="A745" s="76"/>
      <c r="B745" s="65"/>
      <c r="C745" s="65"/>
      <c r="D745" s="65"/>
      <c r="E745" s="71"/>
      <c r="F745" s="67"/>
      <c r="G745" s="67"/>
      <c r="H745" s="67"/>
      <c r="I745" s="67"/>
      <c r="J745" s="67"/>
      <c r="K745" s="68"/>
      <c r="L745" s="69"/>
      <c r="M745" s="70"/>
      <c r="N745" s="71"/>
      <c r="O745" s="85"/>
    </row>
    <row r="746" spans="1:15" ht="30" customHeight="1">
      <c r="A746" s="76"/>
      <c r="B746" s="65"/>
      <c r="C746" s="65"/>
      <c r="D746" s="65"/>
      <c r="E746" s="71"/>
      <c r="F746" s="67"/>
      <c r="G746" s="67"/>
      <c r="H746" s="67"/>
      <c r="I746" s="67"/>
      <c r="J746" s="67"/>
      <c r="K746" s="68"/>
      <c r="L746" s="69"/>
      <c r="M746" s="70"/>
      <c r="N746" s="71"/>
      <c r="O746" s="85"/>
    </row>
    <row r="747" spans="1:15" ht="30" customHeight="1">
      <c r="A747" s="76"/>
      <c r="B747" s="65"/>
      <c r="C747" s="65"/>
      <c r="D747" s="65"/>
      <c r="E747" s="71"/>
      <c r="F747" s="67"/>
      <c r="G747" s="67"/>
      <c r="H747" s="67"/>
      <c r="I747" s="67"/>
      <c r="J747" s="67"/>
      <c r="K747" s="68"/>
      <c r="L747" s="69"/>
      <c r="M747" s="70"/>
      <c r="N747" s="71"/>
      <c r="O747" s="85"/>
    </row>
    <row r="748" spans="1:15" ht="30" customHeight="1">
      <c r="A748" s="76"/>
      <c r="B748" s="65"/>
      <c r="C748" s="65"/>
      <c r="D748" s="65"/>
      <c r="E748" s="71"/>
      <c r="F748" s="67"/>
      <c r="G748" s="67"/>
      <c r="H748" s="67"/>
      <c r="I748" s="67"/>
      <c r="J748" s="67"/>
      <c r="K748" s="68"/>
      <c r="L748" s="69"/>
      <c r="M748" s="70"/>
      <c r="N748" s="71"/>
      <c r="O748" s="85"/>
    </row>
    <row r="749" spans="1:15" ht="30" customHeight="1">
      <c r="A749" s="76"/>
      <c r="B749" s="65"/>
      <c r="C749" s="65"/>
      <c r="D749" s="65"/>
      <c r="E749" s="71"/>
      <c r="F749" s="67"/>
      <c r="G749" s="67"/>
      <c r="H749" s="67"/>
      <c r="I749" s="67"/>
      <c r="J749" s="67"/>
      <c r="K749" s="68"/>
      <c r="L749" s="69"/>
      <c r="M749" s="70"/>
      <c r="N749" s="71"/>
      <c r="O749" s="85"/>
    </row>
    <row r="750" spans="1:15" ht="30" customHeight="1">
      <c r="A750" s="76"/>
      <c r="B750" s="65"/>
      <c r="C750" s="65"/>
      <c r="D750" s="65"/>
      <c r="E750" s="71"/>
      <c r="F750" s="67"/>
      <c r="G750" s="67"/>
      <c r="H750" s="67"/>
      <c r="I750" s="67"/>
      <c r="J750" s="67"/>
      <c r="K750" s="68"/>
      <c r="L750" s="69"/>
      <c r="M750" s="70"/>
      <c r="N750" s="71"/>
      <c r="O750" s="85"/>
    </row>
    <row r="751" spans="1:15" ht="30" customHeight="1">
      <c r="A751" s="76"/>
      <c r="B751" s="65"/>
      <c r="C751" s="65"/>
      <c r="D751" s="65"/>
      <c r="E751" s="71"/>
      <c r="F751" s="67"/>
      <c r="G751" s="67"/>
      <c r="H751" s="67"/>
      <c r="I751" s="67"/>
      <c r="J751" s="67"/>
      <c r="K751" s="68"/>
      <c r="L751" s="69"/>
      <c r="M751" s="70"/>
      <c r="N751" s="71"/>
      <c r="O751" s="85"/>
    </row>
    <row r="752" spans="1:15" ht="30" customHeight="1">
      <c r="A752" s="76"/>
      <c r="B752" s="65"/>
      <c r="C752" s="65"/>
      <c r="D752" s="65"/>
      <c r="E752" s="71"/>
      <c r="F752" s="67"/>
      <c r="G752" s="67"/>
      <c r="H752" s="67"/>
      <c r="I752" s="67"/>
      <c r="J752" s="67"/>
      <c r="K752" s="68"/>
      <c r="L752" s="69"/>
      <c r="M752" s="70"/>
      <c r="N752" s="71"/>
      <c r="O752" s="85"/>
    </row>
    <row r="753" spans="1:15" ht="30" customHeight="1">
      <c r="A753" s="76"/>
      <c r="B753" s="65"/>
      <c r="C753" s="65"/>
      <c r="D753" s="65"/>
      <c r="E753" s="71"/>
      <c r="F753" s="67"/>
      <c r="G753" s="67"/>
      <c r="H753" s="67"/>
      <c r="I753" s="67"/>
      <c r="J753" s="67"/>
      <c r="K753" s="68"/>
      <c r="L753" s="69"/>
      <c r="M753" s="70"/>
      <c r="N753" s="71"/>
      <c r="O753" s="85"/>
    </row>
    <row r="754" spans="1:15" ht="30" customHeight="1">
      <c r="A754" s="76"/>
      <c r="B754" s="65"/>
      <c r="C754" s="65"/>
      <c r="D754" s="65"/>
      <c r="E754" s="71"/>
      <c r="F754" s="67"/>
      <c r="G754" s="67"/>
      <c r="H754" s="67"/>
      <c r="I754" s="67"/>
      <c r="J754" s="67"/>
      <c r="K754" s="68"/>
      <c r="L754" s="69"/>
      <c r="M754" s="70"/>
      <c r="N754" s="71"/>
      <c r="O754" s="85"/>
    </row>
    <row r="755" spans="1:15" ht="30" customHeight="1">
      <c r="A755" s="76"/>
      <c r="B755" s="65"/>
      <c r="C755" s="65"/>
      <c r="D755" s="65"/>
      <c r="E755" s="71"/>
      <c r="F755" s="67"/>
      <c r="G755" s="67"/>
      <c r="H755" s="67"/>
      <c r="I755" s="67"/>
      <c r="J755" s="67"/>
      <c r="K755" s="68"/>
      <c r="L755" s="69"/>
      <c r="M755" s="70"/>
      <c r="N755" s="71"/>
      <c r="O755" s="85"/>
    </row>
    <row r="756" spans="1:15" ht="30" customHeight="1">
      <c r="A756" s="76"/>
      <c r="B756" s="65"/>
      <c r="C756" s="65"/>
      <c r="D756" s="65"/>
      <c r="E756" s="71"/>
      <c r="F756" s="67"/>
      <c r="G756" s="67"/>
      <c r="H756" s="67"/>
      <c r="I756" s="67"/>
      <c r="J756" s="67"/>
      <c r="K756" s="68"/>
      <c r="L756" s="69"/>
      <c r="M756" s="70"/>
      <c r="N756" s="71"/>
      <c r="O756" s="85"/>
    </row>
    <row r="757" spans="1:15" ht="30" customHeight="1">
      <c r="A757" s="76"/>
      <c r="B757" s="65"/>
      <c r="C757" s="65"/>
      <c r="D757" s="65"/>
      <c r="E757" s="71"/>
      <c r="F757" s="67"/>
      <c r="G757" s="67"/>
      <c r="H757" s="67"/>
      <c r="I757" s="67"/>
      <c r="J757" s="67"/>
      <c r="K757" s="68"/>
      <c r="L757" s="69"/>
      <c r="M757" s="70"/>
      <c r="N757" s="71"/>
      <c r="O757" s="85"/>
    </row>
    <row r="758" spans="1:15" ht="30" customHeight="1">
      <c r="A758" s="76"/>
      <c r="B758" s="65"/>
      <c r="C758" s="65"/>
      <c r="D758" s="65"/>
      <c r="E758" s="71"/>
      <c r="F758" s="67"/>
      <c r="G758" s="67"/>
      <c r="H758" s="67"/>
      <c r="I758" s="67"/>
      <c r="J758" s="67"/>
      <c r="K758" s="68"/>
      <c r="L758" s="69"/>
      <c r="M758" s="70"/>
      <c r="N758" s="71"/>
      <c r="O758" s="85"/>
    </row>
    <row r="759" spans="1:15" ht="30" customHeight="1">
      <c r="A759" s="76"/>
      <c r="B759" s="65"/>
      <c r="C759" s="65"/>
      <c r="D759" s="65"/>
      <c r="E759" s="71"/>
      <c r="F759" s="67"/>
      <c r="G759" s="67"/>
      <c r="H759" s="67"/>
      <c r="I759" s="67"/>
      <c r="J759" s="67"/>
      <c r="K759" s="68"/>
      <c r="L759" s="69"/>
      <c r="M759" s="70"/>
      <c r="N759" s="71"/>
      <c r="O759" s="85"/>
    </row>
    <row r="760" spans="1:15" ht="30" customHeight="1">
      <c r="A760" s="76"/>
      <c r="B760" s="65"/>
      <c r="C760" s="65"/>
      <c r="D760" s="65"/>
      <c r="E760" s="71"/>
      <c r="F760" s="67"/>
      <c r="G760" s="67"/>
      <c r="H760" s="67"/>
      <c r="I760" s="67"/>
      <c r="J760" s="67"/>
      <c r="K760" s="68"/>
      <c r="L760" s="69"/>
      <c r="M760" s="70"/>
      <c r="N760" s="71"/>
      <c r="O760" s="85"/>
    </row>
    <row r="761" spans="1:15" ht="30" customHeight="1">
      <c r="A761" s="76"/>
      <c r="B761" s="65"/>
      <c r="C761" s="65"/>
      <c r="D761" s="65"/>
      <c r="E761" s="71"/>
      <c r="F761" s="67"/>
      <c r="G761" s="67"/>
      <c r="H761" s="67"/>
      <c r="I761" s="67"/>
      <c r="J761" s="67"/>
      <c r="K761" s="68"/>
      <c r="L761" s="69"/>
      <c r="M761" s="70"/>
      <c r="N761" s="71"/>
      <c r="O761" s="85"/>
    </row>
    <row r="762" spans="1:15" ht="30" customHeight="1">
      <c r="A762" s="76"/>
      <c r="B762" s="65"/>
      <c r="C762" s="65"/>
      <c r="D762" s="65"/>
      <c r="E762" s="71"/>
      <c r="F762" s="67"/>
      <c r="G762" s="67"/>
      <c r="H762" s="67"/>
      <c r="I762" s="67"/>
      <c r="J762" s="67"/>
      <c r="K762" s="68"/>
      <c r="L762" s="69"/>
      <c r="M762" s="70"/>
      <c r="N762" s="71"/>
      <c r="O762" s="85"/>
    </row>
    <row r="763" spans="1:15" ht="30" customHeight="1">
      <c r="A763" s="76"/>
      <c r="B763" s="65"/>
      <c r="C763" s="65"/>
      <c r="D763" s="65"/>
      <c r="E763" s="71"/>
      <c r="F763" s="67"/>
      <c r="G763" s="67"/>
      <c r="H763" s="67"/>
      <c r="I763" s="67"/>
      <c r="J763" s="67"/>
      <c r="K763" s="68"/>
      <c r="L763" s="69"/>
      <c r="M763" s="70"/>
      <c r="N763" s="71"/>
      <c r="O763" s="85"/>
    </row>
    <row r="764" spans="1:15" ht="30" customHeight="1">
      <c r="A764" s="76"/>
      <c r="B764" s="65"/>
      <c r="C764" s="65"/>
      <c r="D764" s="65"/>
      <c r="E764" s="71"/>
      <c r="F764" s="67"/>
      <c r="G764" s="67"/>
      <c r="H764" s="67"/>
      <c r="I764" s="67"/>
      <c r="J764" s="67"/>
      <c r="K764" s="68"/>
      <c r="L764" s="69"/>
      <c r="M764" s="70"/>
      <c r="N764" s="71"/>
      <c r="O764" s="85"/>
    </row>
    <row r="765" spans="1:15" ht="30" customHeight="1">
      <c r="A765" s="76"/>
      <c r="B765" s="65"/>
      <c r="C765" s="65"/>
      <c r="D765" s="65"/>
      <c r="E765" s="71"/>
      <c r="F765" s="67"/>
      <c r="G765" s="67"/>
      <c r="H765" s="67"/>
      <c r="I765" s="67"/>
      <c r="J765" s="67"/>
      <c r="K765" s="68"/>
      <c r="L765" s="69"/>
      <c r="M765" s="70"/>
      <c r="N765" s="71"/>
      <c r="O765" s="85"/>
    </row>
    <row r="766" spans="1:15" ht="30" customHeight="1">
      <c r="A766" s="76"/>
      <c r="B766" s="65"/>
      <c r="C766" s="65"/>
      <c r="D766" s="65"/>
      <c r="E766" s="71"/>
      <c r="F766" s="67"/>
      <c r="G766" s="67"/>
      <c r="H766" s="67"/>
      <c r="I766" s="67"/>
      <c r="J766" s="67"/>
      <c r="K766" s="68"/>
      <c r="L766" s="69"/>
      <c r="M766" s="70"/>
      <c r="N766" s="71"/>
      <c r="O766" s="85"/>
    </row>
    <row r="767" spans="1:15" ht="30" customHeight="1">
      <c r="A767" s="76"/>
      <c r="B767" s="65"/>
      <c r="C767" s="65"/>
      <c r="D767" s="65"/>
      <c r="E767" s="71"/>
      <c r="F767" s="67"/>
      <c r="G767" s="67"/>
      <c r="H767" s="67"/>
      <c r="I767" s="67"/>
      <c r="J767" s="67"/>
      <c r="K767" s="68"/>
      <c r="L767" s="69"/>
      <c r="M767" s="70"/>
      <c r="N767" s="71"/>
      <c r="O767" s="85"/>
    </row>
    <row r="768" spans="1:15" ht="30" customHeight="1">
      <c r="A768" s="76"/>
      <c r="B768" s="65"/>
      <c r="C768" s="65"/>
      <c r="D768" s="65"/>
      <c r="E768" s="71"/>
      <c r="F768" s="67"/>
      <c r="G768" s="67"/>
      <c r="H768" s="67"/>
      <c r="I768" s="67"/>
      <c r="J768" s="67"/>
      <c r="K768" s="68"/>
      <c r="L768" s="69"/>
      <c r="M768" s="70"/>
      <c r="N768" s="71"/>
      <c r="O768" s="85"/>
    </row>
    <row r="769" spans="1:15" ht="30" customHeight="1">
      <c r="A769" s="76"/>
      <c r="B769" s="65"/>
      <c r="C769" s="65"/>
      <c r="D769" s="65"/>
      <c r="E769" s="71"/>
      <c r="F769" s="67"/>
      <c r="G769" s="67"/>
      <c r="H769" s="67"/>
      <c r="I769" s="67"/>
      <c r="J769" s="67"/>
      <c r="K769" s="68"/>
      <c r="L769" s="69"/>
      <c r="M769" s="70"/>
      <c r="N769" s="71"/>
      <c r="O769" s="85"/>
    </row>
    <row r="770" spans="1:15" ht="30" customHeight="1">
      <c r="A770" s="76"/>
      <c r="B770" s="65"/>
      <c r="C770" s="65"/>
      <c r="D770" s="65"/>
      <c r="E770" s="71"/>
      <c r="F770" s="67"/>
      <c r="G770" s="67"/>
      <c r="H770" s="67"/>
      <c r="I770" s="67"/>
      <c r="J770" s="67"/>
      <c r="K770" s="68"/>
      <c r="L770" s="69"/>
      <c r="M770" s="70"/>
      <c r="N770" s="71"/>
      <c r="O770" s="85"/>
    </row>
    <row r="771" spans="1:15" ht="30" customHeight="1">
      <c r="A771" s="76"/>
      <c r="B771" s="65"/>
      <c r="C771" s="65"/>
      <c r="D771" s="65"/>
      <c r="E771" s="71"/>
      <c r="F771" s="67"/>
      <c r="G771" s="67"/>
      <c r="H771" s="67"/>
      <c r="I771" s="67"/>
      <c r="J771" s="67"/>
      <c r="K771" s="68"/>
      <c r="L771" s="69"/>
      <c r="M771" s="70"/>
      <c r="N771" s="71"/>
      <c r="O771" s="85"/>
    </row>
    <row r="772" spans="1:15" ht="30" customHeight="1">
      <c r="A772" s="76"/>
      <c r="B772" s="65"/>
      <c r="C772" s="65"/>
      <c r="D772" s="65"/>
      <c r="E772" s="71"/>
      <c r="F772" s="67"/>
      <c r="G772" s="67"/>
      <c r="H772" s="67"/>
      <c r="I772" s="67"/>
      <c r="J772" s="67"/>
      <c r="K772" s="68"/>
      <c r="L772" s="69"/>
      <c r="M772" s="70"/>
      <c r="N772" s="71"/>
      <c r="O772" s="85"/>
    </row>
    <row r="773" spans="1:15" ht="30" customHeight="1">
      <c r="A773" s="76"/>
      <c r="B773" s="65"/>
      <c r="C773" s="65"/>
      <c r="D773" s="65"/>
      <c r="E773" s="71"/>
      <c r="F773" s="67"/>
      <c r="G773" s="67"/>
      <c r="H773" s="67"/>
      <c r="I773" s="67"/>
      <c r="J773" s="67"/>
      <c r="K773" s="68"/>
      <c r="L773" s="69"/>
      <c r="M773" s="70"/>
      <c r="N773" s="71"/>
      <c r="O773" s="85"/>
    </row>
    <row r="774" spans="1:15" ht="30" customHeight="1">
      <c r="A774" s="76"/>
      <c r="B774" s="65"/>
      <c r="C774" s="65"/>
      <c r="D774" s="65"/>
      <c r="E774" s="71"/>
      <c r="F774" s="67"/>
      <c r="G774" s="67"/>
      <c r="H774" s="67"/>
      <c r="I774" s="67"/>
      <c r="J774" s="67"/>
      <c r="K774" s="68"/>
      <c r="L774" s="69"/>
      <c r="M774" s="70"/>
      <c r="N774" s="71"/>
      <c r="O774" s="85"/>
    </row>
    <row r="775" spans="1:15" ht="30" customHeight="1">
      <c r="A775" s="76"/>
      <c r="B775" s="65"/>
      <c r="C775" s="65"/>
      <c r="D775" s="65"/>
      <c r="E775" s="71"/>
      <c r="F775" s="67"/>
      <c r="G775" s="67"/>
      <c r="H775" s="67"/>
      <c r="I775" s="67"/>
      <c r="J775" s="67"/>
      <c r="K775" s="68"/>
      <c r="L775" s="69"/>
      <c r="M775" s="70"/>
      <c r="N775" s="71"/>
      <c r="O775" s="85"/>
    </row>
    <row r="776" spans="1:15" ht="30" customHeight="1">
      <c r="A776" s="76"/>
      <c r="B776" s="65"/>
      <c r="C776" s="65"/>
      <c r="D776" s="65"/>
      <c r="E776" s="71"/>
      <c r="F776" s="67"/>
      <c r="G776" s="67"/>
      <c r="H776" s="67"/>
      <c r="I776" s="67"/>
      <c r="J776" s="67"/>
      <c r="K776" s="68"/>
      <c r="L776" s="69"/>
      <c r="M776" s="70"/>
      <c r="N776" s="71"/>
      <c r="O776" s="85"/>
    </row>
    <row r="777" spans="1:15" ht="30" customHeight="1">
      <c r="A777" s="76"/>
      <c r="B777" s="65"/>
      <c r="C777" s="65"/>
      <c r="D777" s="65"/>
      <c r="E777" s="71"/>
      <c r="F777" s="67"/>
      <c r="G777" s="67"/>
      <c r="H777" s="67"/>
      <c r="I777" s="67"/>
      <c r="J777" s="67"/>
      <c r="K777" s="68"/>
      <c r="L777" s="69"/>
      <c r="M777" s="70"/>
      <c r="N777" s="71"/>
      <c r="O777" s="85"/>
    </row>
    <row r="778" spans="1:15" ht="30" customHeight="1">
      <c r="A778" s="76"/>
      <c r="B778" s="65"/>
      <c r="C778" s="65"/>
      <c r="D778" s="65"/>
      <c r="E778" s="71"/>
      <c r="F778" s="67"/>
      <c r="G778" s="67"/>
      <c r="H778" s="67"/>
      <c r="I778" s="67"/>
      <c r="J778" s="67"/>
      <c r="K778" s="68"/>
      <c r="L778" s="69"/>
      <c r="M778" s="70"/>
      <c r="N778" s="71"/>
      <c r="O778" s="85"/>
    </row>
    <row r="779" spans="1:15" ht="30" customHeight="1">
      <c r="A779" s="76"/>
      <c r="B779" s="65"/>
      <c r="C779" s="65"/>
      <c r="D779" s="65"/>
      <c r="E779" s="71"/>
      <c r="F779" s="67"/>
      <c r="G779" s="67"/>
      <c r="H779" s="67"/>
      <c r="I779" s="67"/>
      <c r="J779" s="67"/>
      <c r="K779" s="68"/>
      <c r="L779" s="69"/>
      <c r="M779" s="70"/>
      <c r="N779" s="71"/>
      <c r="O779" s="85"/>
    </row>
    <row r="780" spans="1:15" ht="30" customHeight="1">
      <c r="A780" s="76"/>
      <c r="B780" s="65"/>
      <c r="C780" s="65"/>
      <c r="D780" s="65"/>
      <c r="E780" s="71"/>
      <c r="F780" s="67"/>
      <c r="G780" s="67"/>
      <c r="H780" s="67"/>
      <c r="I780" s="67"/>
      <c r="J780" s="67"/>
      <c r="K780" s="68"/>
      <c r="L780" s="69"/>
      <c r="M780" s="70"/>
      <c r="N780" s="71"/>
      <c r="O780" s="85"/>
    </row>
    <row r="781" spans="1:15" ht="30" customHeight="1">
      <c r="A781" s="76"/>
      <c r="B781" s="65"/>
      <c r="C781" s="65"/>
      <c r="D781" s="65"/>
      <c r="E781" s="71"/>
      <c r="F781" s="67"/>
      <c r="G781" s="67"/>
      <c r="H781" s="67"/>
      <c r="I781" s="67"/>
      <c r="J781" s="67"/>
      <c r="K781" s="68"/>
      <c r="L781" s="69"/>
      <c r="M781" s="70"/>
      <c r="N781" s="71"/>
      <c r="O781" s="85"/>
    </row>
    <row r="782" spans="1:15" ht="30" customHeight="1">
      <c r="A782" s="76"/>
      <c r="B782" s="65"/>
      <c r="C782" s="65"/>
      <c r="D782" s="65"/>
      <c r="E782" s="71"/>
      <c r="F782" s="67"/>
      <c r="G782" s="67"/>
      <c r="H782" s="67"/>
      <c r="I782" s="67"/>
      <c r="J782" s="67"/>
      <c r="K782" s="68"/>
      <c r="L782" s="69"/>
      <c r="M782" s="70"/>
      <c r="N782" s="71"/>
      <c r="O782" s="85"/>
    </row>
    <row r="783" spans="1:15" ht="30" customHeight="1">
      <c r="A783" s="76"/>
      <c r="B783" s="65"/>
      <c r="C783" s="65"/>
      <c r="D783" s="65"/>
      <c r="E783" s="71"/>
      <c r="F783" s="67"/>
      <c r="G783" s="67"/>
      <c r="H783" s="67"/>
      <c r="I783" s="67"/>
      <c r="J783" s="67"/>
      <c r="K783" s="68"/>
      <c r="L783" s="69"/>
      <c r="M783" s="70"/>
      <c r="N783" s="71"/>
      <c r="O783" s="85"/>
    </row>
    <row r="784" spans="1:15" ht="30" customHeight="1">
      <c r="A784" s="76"/>
      <c r="B784" s="65"/>
      <c r="C784" s="65"/>
      <c r="D784" s="65"/>
      <c r="E784" s="71"/>
      <c r="F784" s="67"/>
      <c r="G784" s="67"/>
      <c r="H784" s="67"/>
      <c r="I784" s="67"/>
      <c r="J784" s="67"/>
      <c r="K784" s="68"/>
      <c r="L784" s="69"/>
      <c r="M784" s="70"/>
      <c r="N784" s="71"/>
      <c r="O784" s="85"/>
    </row>
    <row r="785" spans="1:15" ht="30" customHeight="1">
      <c r="A785" s="76"/>
      <c r="B785" s="65"/>
      <c r="C785" s="65"/>
      <c r="D785" s="65"/>
      <c r="E785" s="71"/>
      <c r="F785" s="67"/>
      <c r="G785" s="67"/>
      <c r="H785" s="67"/>
      <c r="I785" s="67"/>
      <c r="J785" s="67"/>
      <c r="K785" s="68"/>
      <c r="L785" s="69"/>
      <c r="M785" s="70"/>
      <c r="N785" s="71"/>
      <c r="O785" s="85"/>
    </row>
    <row r="786" spans="1:15" ht="30" customHeight="1">
      <c r="A786" s="76"/>
      <c r="B786" s="65"/>
      <c r="C786" s="65"/>
      <c r="D786" s="65"/>
      <c r="E786" s="71"/>
      <c r="F786" s="67"/>
      <c r="G786" s="67"/>
      <c r="H786" s="67"/>
      <c r="I786" s="67"/>
      <c r="J786" s="67"/>
      <c r="K786" s="68"/>
      <c r="L786" s="69"/>
      <c r="M786" s="70"/>
      <c r="N786" s="71"/>
      <c r="O786" s="85"/>
    </row>
    <row r="787" spans="1:15" ht="30" customHeight="1">
      <c r="A787" s="76"/>
      <c r="B787" s="65"/>
      <c r="C787" s="65"/>
      <c r="D787" s="65"/>
      <c r="E787" s="71"/>
      <c r="F787" s="67"/>
      <c r="G787" s="67"/>
      <c r="H787" s="67"/>
      <c r="I787" s="67"/>
      <c r="J787" s="67"/>
      <c r="K787" s="68"/>
      <c r="L787" s="69"/>
      <c r="M787" s="70"/>
      <c r="N787" s="71"/>
      <c r="O787" s="85"/>
    </row>
    <row r="788" spans="1:15" ht="30" customHeight="1">
      <c r="A788" s="76"/>
      <c r="B788" s="65"/>
      <c r="C788" s="65"/>
      <c r="D788" s="65"/>
      <c r="E788" s="71"/>
      <c r="F788" s="67"/>
      <c r="G788" s="67"/>
      <c r="H788" s="67"/>
      <c r="I788" s="67"/>
      <c r="J788" s="67"/>
      <c r="K788" s="68"/>
      <c r="L788" s="69"/>
      <c r="M788" s="70"/>
      <c r="N788" s="71"/>
      <c r="O788" s="85"/>
    </row>
    <row r="789" spans="1:15" ht="30" customHeight="1">
      <c r="A789" s="76"/>
      <c r="B789" s="65"/>
      <c r="C789" s="65"/>
      <c r="D789" s="65"/>
      <c r="E789" s="71"/>
      <c r="F789" s="67"/>
      <c r="G789" s="67"/>
      <c r="H789" s="67"/>
      <c r="I789" s="67"/>
      <c r="J789" s="67"/>
      <c r="K789" s="68"/>
      <c r="L789" s="69"/>
      <c r="M789" s="70"/>
      <c r="N789" s="71"/>
      <c r="O789" s="85"/>
    </row>
    <row r="790" spans="1:15" ht="30" customHeight="1">
      <c r="A790" s="76"/>
      <c r="B790" s="65"/>
      <c r="C790" s="65"/>
      <c r="D790" s="65"/>
      <c r="E790" s="71"/>
      <c r="F790" s="67"/>
      <c r="G790" s="67"/>
      <c r="H790" s="67"/>
      <c r="I790" s="67"/>
      <c r="J790" s="67"/>
      <c r="K790" s="68"/>
      <c r="L790" s="69"/>
      <c r="M790" s="70"/>
      <c r="N790" s="71"/>
      <c r="O790" s="85"/>
    </row>
    <row r="791" spans="1:15" ht="30" customHeight="1">
      <c r="A791" s="76"/>
      <c r="B791" s="65"/>
      <c r="C791" s="65"/>
      <c r="D791" s="65"/>
      <c r="E791" s="71"/>
      <c r="F791" s="67"/>
      <c r="G791" s="67"/>
      <c r="H791" s="67"/>
      <c r="I791" s="67"/>
      <c r="J791" s="67"/>
      <c r="K791" s="68"/>
      <c r="L791" s="69"/>
      <c r="M791" s="70"/>
      <c r="N791" s="71"/>
      <c r="O791" s="85"/>
    </row>
    <row r="792" spans="1:15" ht="30" customHeight="1">
      <c r="A792" s="76"/>
      <c r="B792" s="65"/>
      <c r="C792" s="65"/>
      <c r="D792" s="65"/>
      <c r="E792" s="71"/>
      <c r="F792" s="67"/>
      <c r="G792" s="67"/>
      <c r="H792" s="67"/>
      <c r="I792" s="67"/>
      <c r="J792" s="67"/>
      <c r="K792" s="68"/>
      <c r="L792" s="69"/>
      <c r="M792" s="70"/>
      <c r="N792" s="71"/>
      <c r="O792" s="85"/>
    </row>
    <row r="793" spans="1:15" ht="30" customHeight="1">
      <c r="A793" s="76"/>
      <c r="B793" s="65"/>
      <c r="C793" s="65"/>
      <c r="D793" s="65"/>
      <c r="E793" s="71"/>
      <c r="F793" s="67"/>
      <c r="G793" s="67"/>
      <c r="H793" s="67"/>
      <c r="I793" s="67"/>
      <c r="J793" s="67"/>
      <c r="K793" s="68"/>
      <c r="L793" s="69"/>
      <c r="M793" s="70"/>
      <c r="N793" s="71"/>
      <c r="O793" s="85"/>
    </row>
    <row r="794" spans="1:15" ht="30" customHeight="1">
      <c r="A794" s="76"/>
      <c r="B794" s="65"/>
      <c r="C794" s="65"/>
      <c r="D794" s="65"/>
      <c r="E794" s="71"/>
      <c r="F794" s="67"/>
      <c r="G794" s="67"/>
      <c r="H794" s="67"/>
      <c r="I794" s="67"/>
      <c r="J794" s="67"/>
      <c r="K794" s="68"/>
      <c r="L794" s="69"/>
      <c r="M794" s="70"/>
      <c r="N794" s="71"/>
      <c r="O794" s="85"/>
    </row>
    <row r="795" spans="1:15" ht="30" customHeight="1">
      <c r="A795" s="76"/>
      <c r="B795" s="65"/>
      <c r="C795" s="65"/>
      <c r="D795" s="65"/>
      <c r="E795" s="71"/>
      <c r="F795" s="67"/>
      <c r="G795" s="67"/>
      <c r="H795" s="67"/>
      <c r="I795" s="67"/>
      <c r="J795" s="67"/>
      <c r="K795" s="68"/>
      <c r="L795" s="69"/>
      <c r="M795" s="70"/>
      <c r="N795" s="71"/>
      <c r="O795" s="85"/>
    </row>
    <row r="796" spans="1:15" ht="30" customHeight="1">
      <c r="A796" s="76"/>
      <c r="B796" s="65"/>
      <c r="C796" s="65"/>
      <c r="D796" s="65"/>
      <c r="E796" s="71"/>
      <c r="F796" s="67"/>
      <c r="G796" s="67"/>
      <c r="H796" s="67"/>
      <c r="I796" s="67"/>
      <c r="J796" s="67"/>
      <c r="K796" s="68"/>
      <c r="L796" s="69"/>
      <c r="M796" s="70"/>
      <c r="N796" s="71"/>
      <c r="O796" s="85"/>
    </row>
    <row r="797" spans="1:15" ht="30" customHeight="1">
      <c r="A797" s="76"/>
      <c r="B797" s="65"/>
      <c r="C797" s="65"/>
      <c r="D797" s="65"/>
      <c r="E797" s="71"/>
      <c r="F797" s="67"/>
      <c r="G797" s="67"/>
      <c r="H797" s="67"/>
      <c r="I797" s="67"/>
      <c r="J797" s="67"/>
      <c r="K797" s="68"/>
      <c r="L797" s="69"/>
      <c r="M797" s="70"/>
      <c r="N797" s="71"/>
      <c r="O797" s="85"/>
    </row>
    <row r="798" spans="1:15" ht="30" customHeight="1">
      <c r="A798" s="76"/>
      <c r="B798" s="65"/>
      <c r="C798" s="65"/>
      <c r="D798" s="65"/>
      <c r="E798" s="71"/>
      <c r="F798" s="67"/>
      <c r="G798" s="67"/>
      <c r="H798" s="67"/>
      <c r="I798" s="67"/>
      <c r="J798" s="67"/>
      <c r="K798" s="68"/>
      <c r="L798" s="69"/>
      <c r="M798" s="70"/>
      <c r="N798" s="71"/>
      <c r="O798" s="85"/>
    </row>
    <row r="799" spans="1:15" ht="30" customHeight="1">
      <c r="A799" s="76"/>
      <c r="B799" s="65"/>
      <c r="C799" s="65"/>
      <c r="D799" s="65"/>
      <c r="E799" s="71"/>
      <c r="F799" s="67"/>
      <c r="G799" s="67"/>
      <c r="H799" s="67"/>
      <c r="I799" s="67"/>
      <c r="J799" s="67"/>
      <c r="K799" s="68"/>
      <c r="L799" s="69"/>
      <c r="M799" s="70"/>
      <c r="N799" s="71"/>
      <c r="O799" s="85"/>
    </row>
    <row r="800" spans="1:15" ht="30" customHeight="1">
      <c r="A800" s="76"/>
      <c r="B800" s="65"/>
      <c r="C800" s="65"/>
      <c r="D800" s="65"/>
      <c r="E800" s="71"/>
      <c r="F800" s="67"/>
      <c r="G800" s="67"/>
      <c r="H800" s="67"/>
      <c r="I800" s="67"/>
      <c r="J800" s="67"/>
      <c r="K800" s="68"/>
      <c r="L800" s="69"/>
      <c r="M800" s="70"/>
      <c r="N800" s="71"/>
      <c r="O800" s="85"/>
    </row>
    <row r="801" spans="1:15" ht="30" customHeight="1">
      <c r="A801" s="76"/>
      <c r="B801" s="65"/>
      <c r="C801" s="65"/>
      <c r="D801" s="65"/>
      <c r="E801" s="71"/>
      <c r="F801" s="67"/>
      <c r="G801" s="67"/>
      <c r="H801" s="67"/>
      <c r="I801" s="67"/>
      <c r="J801" s="67"/>
      <c r="K801" s="68"/>
      <c r="L801" s="69"/>
      <c r="M801" s="70"/>
      <c r="N801" s="71"/>
      <c r="O801" s="85"/>
    </row>
    <row r="802" spans="1:15" ht="30" customHeight="1">
      <c r="A802" s="76"/>
      <c r="B802" s="65"/>
      <c r="C802" s="65"/>
      <c r="D802" s="65"/>
      <c r="E802" s="71"/>
      <c r="F802" s="67"/>
      <c r="G802" s="67"/>
      <c r="H802" s="67"/>
      <c r="I802" s="67"/>
      <c r="J802" s="67"/>
      <c r="K802" s="68"/>
      <c r="L802" s="69"/>
      <c r="M802" s="70"/>
      <c r="N802" s="71"/>
      <c r="O802" s="85"/>
    </row>
    <row r="803" spans="1:15" ht="30" customHeight="1">
      <c r="A803" s="76"/>
      <c r="B803" s="65"/>
      <c r="C803" s="65"/>
      <c r="D803" s="65"/>
      <c r="E803" s="71"/>
      <c r="F803" s="67"/>
      <c r="G803" s="67"/>
      <c r="H803" s="67"/>
      <c r="I803" s="67"/>
      <c r="J803" s="67"/>
      <c r="K803" s="68"/>
      <c r="L803" s="69"/>
      <c r="M803" s="70"/>
      <c r="N803" s="71"/>
      <c r="O803" s="85"/>
    </row>
    <row r="804" spans="1:15" ht="30" customHeight="1">
      <c r="A804" s="76"/>
      <c r="B804" s="65"/>
      <c r="C804" s="65"/>
      <c r="D804" s="65"/>
      <c r="E804" s="71"/>
      <c r="F804" s="67"/>
      <c r="G804" s="67"/>
      <c r="H804" s="67"/>
      <c r="I804" s="67"/>
      <c r="J804" s="67"/>
      <c r="K804" s="68"/>
      <c r="L804" s="69"/>
      <c r="M804" s="70"/>
      <c r="N804" s="71"/>
      <c r="O804" s="85"/>
    </row>
    <row r="805" spans="1:15" ht="30" customHeight="1">
      <c r="A805" s="76"/>
      <c r="B805" s="65"/>
      <c r="C805" s="65"/>
      <c r="D805" s="65"/>
      <c r="E805" s="71"/>
      <c r="F805" s="67"/>
      <c r="G805" s="67"/>
      <c r="H805" s="67"/>
      <c r="I805" s="67"/>
      <c r="J805" s="67"/>
      <c r="K805" s="68"/>
      <c r="L805" s="69"/>
      <c r="M805" s="70"/>
      <c r="N805" s="71"/>
      <c r="O805" s="85"/>
    </row>
    <row r="806" spans="1:15" ht="30" customHeight="1">
      <c r="A806" s="76"/>
      <c r="B806" s="65"/>
      <c r="C806" s="65"/>
      <c r="D806" s="65"/>
      <c r="E806" s="71"/>
      <c r="F806" s="67"/>
      <c r="G806" s="67"/>
      <c r="H806" s="67"/>
      <c r="I806" s="67"/>
      <c r="J806" s="67"/>
      <c r="K806" s="68"/>
      <c r="L806" s="69"/>
      <c r="M806" s="70"/>
      <c r="N806" s="71"/>
      <c r="O806" s="85"/>
    </row>
    <row r="807" spans="1:15" ht="30" customHeight="1">
      <c r="A807" s="76"/>
      <c r="B807" s="65"/>
      <c r="C807" s="65"/>
      <c r="D807" s="65"/>
      <c r="E807" s="71"/>
      <c r="F807" s="67"/>
      <c r="G807" s="67"/>
      <c r="H807" s="67"/>
      <c r="I807" s="67"/>
      <c r="J807" s="67"/>
      <c r="K807" s="68"/>
      <c r="L807" s="69"/>
      <c r="M807" s="70"/>
      <c r="N807" s="71"/>
      <c r="O807" s="85"/>
    </row>
    <row r="808" spans="1:15" ht="30" customHeight="1">
      <c r="A808" s="76"/>
      <c r="B808" s="65"/>
      <c r="C808" s="65"/>
      <c r="D808" s="65"/>
      <c r="E808" s="71"/>
      <c r="F808" s="67"/>
      <c r="G808" s="67"/>
      <c r="H808" s="67"/>
      <c r="I808" s="67"/>
      <c r="J808" s="67"/>
      <c r="K808" s="68"/>
      <c r="L808" s="69"/>
      <c r="M808" s="70"/>
      <c r="N808" s="71"/>
      <c r="O808" s="85"/>
    </row>
    <row r="809" spans="1:15" ht="30" customHeight="1">
      <c r="A809" s="76"/>
      <c r="B809" s="65"/>
      <c r="C809" s="65"/>
      <c r="D809" s="65"/>
      <c r="E809" s="71"/>
      <c r="F809" s="67"/>
      <c r="G809" s="67"/>
      <c r="H809" s="67"/>
      <c r="I809" s="67"/>
      <c r="J809" s="67"/>
      <c r="K809" s="68"/>
      <c r="L809" s="69"/>
      <c r="M809" s="70"/>
      <c r="N809" s="71"/>
      <c r="O809" s="85"/>
    </row>
    <row r="810" spans="1:15" ht="30" customHeight="1">
      <c r="A810" s="76"/>
      <c r="B810" s="65"/>
      <c r="C810" s="65"/>
      <c r="D810" s="65"/>
      <c r="E810" s="71"/>
      <c r="F810" s="67"/>
      <c r="G810" s="67"/>
      <c r="H810" s="67"/>
      <c r="I810" s="67"/>
      <c r="J810" s="67"/>
      <c r="K810" s="68"/>
      <c r="L810" s="69"/>
      <c r="M810" s="70"/>
      <c r="N810" s="71"/>
      <c r="O810" s="85"/>
    </row>
    <row r="811" spans="1:15" ht="30" customHeight="1">
      <c r="A811" s="76"/>
      <c r="B811" s="65"/>
      <c r="C811" s="65"/>
      <c r="D811" s="65"/>
      <c r="E811" s="71"/>
      <c r="F811" s="67"/>
      <c r="G811" s="67"/>
      <c r="H811" s="67"/>
      <c r="I811" s="67"/>
      <c r="J811" s="67"/>
      <c r="K811" s="68"/>
      <c r="L811" s="69"/>
      <c r="M811" s="70"/>
      <c r="N811" s="71"/>
      <c r="O811" s="85"/>
    </row>
    <row r="812" spans="1:15" ht="30" customHeight="1">
      <c r="A812" s="76"/>
      <c r="B812" s="65"/>
      <c r="C812" s="65"/>
      <c r="D812" s="65"/>
      <c r="E812" s="71"/>
      <c r="F812" s="67"/>
      <c r="G812" s="67"/>
      <c r="H812" s="67"/>
      <c r="I812" s="67"/>
      <c r="J812" s="67"/>
      <c r="K812" s="68"/>
      <c r="L812" s="69"/>
      <c r="M812" s="70"/>
      <c r="N812" s="71"/>
      <c r="O812" s="85"/>
    </row>
    <row r="813" spans="1:15" ht="30" customHeight="1">
      <c r="A813" s="76"/>
      <c r="B813" s="65"/>
      <c r="C813" s="65"/>
      <c r="D813" s="65"/>
      <c r="E813" s="71"/>
      <c r="F813" s="67"/>
      <c r="G813" s="67"/>
      <c r="H813" s="67"/>
      <c r="I813" s="67"/>
      <c r="J813" s="67"/>
      <c r="K813" s="68"/>
      <c r="L813" s="69"/>
      <c r="M813" s="70"/>
      <c r="N813" s="71"/>
      <c r="O813" s="85"/>
    </row>
    <row r="814" spans="1:15" ht="30" customHeight="1">
      <c r="A814" s="76"/>
      <c r="B814" s="65"/>
      <c r="C814" s="65"/>
      <c r="D814" s="65"/>
      <c r="E814" s="71"/>
      <c r="F814" s="67"/>
      <c r="G814" s="67"/>
      <c r="H814" s="67"/>
      <c r="I814" s="67"/>
      <c r="J814" s="67"/>
      <c r="K814" s="68"/>
      <c r="L814" s="69"/>
      <c r="M814" s="70"/>
      <c r="N814" s="71"/>
      <c r="O814" s="85"/>
    </row>
    <row r="815" spans="1:15" ht="30" customHeight="1">
      <c r="A815" s="76"/>
      <c r="B815" s="65"/>
      <c r="C815" s="65"/>
      <c r="D815" s="65"/>
      <c r="E815" s="71"/>
      <c r="F815" s="67"/>
      <c r="G815" s="67"/>
      <c r="H815" s="67"/>
      <c r="I815" s="67"/>
      <c r="J815" s="67"/>
      <c r="K815" s="68"/>
      <c r="L815" s="69"/>
      <c r="M815" s="70"/>
      <c r="N815" s="71"/>
      <c r="O815" s="85"/>
    </row>
    <row r="816" spans="1:15" ht="30" customHeight="1">
      <c r="A816" s="76"/>
      <c r="B816" s="65"/>
      <c r="C816" s="65"/>
      <c r="D816" s="65"/>
      <c r="E816" s="71"/>
      <c r="F816" s="67"/>
      <c r="G816" s="67"/>
      <c r="H816" s="67"/>
      <c r="I816" s="67"/>
      <c r="J816" s="67"/>
      <c r="K816" s="68"/>
      <c r="L816" s="69"/>
      <c r="M816" s="70"/>
      <c r="N816" s="71"/>
      <c r="O816" s="85"/>
    </row>
    <row r="817" spans="1:15" ht="30" customHeight="1">
      <c r="A817" s="76"/>
      <c r="B817" s="65"/>
      <c r="C817" s="65"/>
      <c r="D817" s="65"/>
      <c r="E817" s="71"/>
      <c r="F817" s="67"/>
      <c r="G817" s="67"/>
      <c r="H817" s="67"/>
      <c r="I817" s="67"/>
      <c r="J817" s="67"/>
      <c r="K817" s="68"/>
      <c r="L817" s="69"/>
      <c r="M817" s="70"/>
      <c r="N817" s="71"/>
      <c r="O817" s="85"/>
    </row>
    <row r="818" spans="1:15" ht="30" customHeight="1">
      <c r="A818" s="76"/>
      <c r="B818" s="65"/>
      <c r="C818" s="65"/>
      <c r="D818" s="65"/>
      <c r="E818" s="71"/>
      <c r="F818" s="67"/>
      <c r="G818" s="67"/>
      <c r="H818" s="67"/>
      <c r="I818" s="67"/>
      <c r="J818" s="67"/>
      <c r="K818" s="68"/>
      <c r="L818" s="69"/>
      <c r="M818" s="70"/>
      <c r="N818" s="71"/>
      <c r="O818" s="85"/>
    </row>
    <row r="819" spans="1:15" ht="30" customHeight="1">
      <c r="A819" s="76"/>
      <c r="B819" s="65"/>
      <c r="C819" s="65"/>
      <c r="D819" s="65"/>
      <c r="E819" s="71"/>
      <c r="F819" s="67"/>
      <c r="G819" s="67"/>
      <c r="H819" s="67"/>
      <c r="I819" s="67"/>
      <c r="J819" s="67"/>
      <c r="K819" s="68"/>
      <c r="L819" s="69"/>
      <c r="M819" s="70"/>
      <c r="N819" s="71"/>
      <c r="O819" s="85"/>
    </row>
    <row r="820" spans="1:15" ht="30" customHeight="1">
      <c r="A820" s="76"/>
      <c r="B820" s="65"/>
      <c r="C820" s="65"/>
      <c r="D820" s="65"/>
      <c r="E820" s="71"/>
      <c r="F820" s="67"/>
      <c r="G820" s="67"/>
      <c r="H820" s="67"/>
      <c r="I820" s="67"/>
      <c r="J820" s="67"/>
      <c r="K820" s="68"/>
      <c r="L820" s="69"/>
      <c r="M820" s="70"/>
      <c r="N820" s="71"/>
      <c r="O820" s="85"/>
    </row>
    <row r="821" spans="1:15" ht="30" customHeight="1">
      <c r="A821" s="76"/>
      <c r="B821" s="65"/>
      <c r="C821" s="65"/>
      <c r="D821" s="65"/>
      <c r="E821" s="71"/>
      <c r="F821" s="67"/>
      <c r="G821" s="67"/>
      <c r="H821" s="67"/>
      <c r="I821" s="67"/>
      <c r="J821" s="67"/>
      <c r="K821" s="68"/>
      <c r="L821" s="69"/>
      <c r="M821" s="70"/>
      <c r="N821" s="71"/>
      <c r="O821" s="85"/>
    </row>
    <row r="822" spans="1:15" ht="30" customHeight="1">
      <c r="A822" s="76"/>
      <c r="B822" s="65"/>
      <c r="C822" s="65"/>
      <c r="D822" s="65"/>
      <c r="E822" s="71"/>
      <c r="F822" s="67"/>
      <c r="G822" s="67"/>
      <c r="H822" s="67"/>
      <c r="I822" s="67"/>
      <c r="J822" s="67"/>
      <c r="K822" s="68"/>
      <c r="L822" s="69"/>
      <c r="M822" s="70"/>
      <c r="N822" s="71"/>
      <c r="O822" s="85"/>
    </row>
    <row r="823" spans="1:15" ht="30" customHeight="1">
      <c r="A823" s="76"/>
      <c r="B823" s="65"/>
      <c r="C823" s="65"/>
      <c r="D823" s="65"/>
      <c r="E823" s="71"/>
      <c r="F823" s="67"/>
      <c r="G823" s="67"/>
      <c r="H823" s="67"/>
      <c r="I823" s="67"/>
      <c r="J823" s="67"/>
      <c r="K823" s="68"/>
      <c r="L823" s="69"/>
      <c r="M823" s="70"/>
      <c r="N823" s="71"/>
      <c r="O823" s="85"/>
    </row>
    <row r="824" spans="1:15" ht="30" customHeight="1">
      <c r="A824" s="76"/>
      <c r="B824" s="65"/>
      <c r="C824" s="65"/>
      <c r="D824" s="65"/>
      <c r="E824" s="71"/>
      <c r="F824" s="67"/>
      <c r="G824" s="67"/>
      <c r="H824" s="67"/>
      <c r="I824" s="67"/>
      <c r="J824" s="67"/>
      <c r="K824" s="68"/>
      <c r="L824" s="69"/>
      <c r="M824" s="70"/>
      <c r="N824" s="71"/>
      <c r="O824" s="85"/>
    </row>
    <row r="825" spans="1:15" ht="30" customHeight="1">
      <c r="A825" s="76"/>
      <c r="B825" s="65"/>
      <c r="C825" s="65"/>
      <c r="D825" s="65"/>
      <c r="E825" s="71"/>
      <c r="F825" s="67"/>
      <c r="G825" s="67"/>
      <c r="H825" s="67"/>
      <c r="I825" s="67"/>
      <c r="J825" s="67"/>
      <c r="K825" s="68"/>
      <c r="L825" s="69"/>
      <c r="M825" s="70"/>
      <c r="N825" s="71"/>
      <c r="O825" s="85"/>
    </row>
    <row r="826" spans="1:15" ht="30" customHeight="1">
      <c r="A826" s="76"/>
      <c r="B826" s="65"/>
      <c r="C826" s="65"/>
      <c r="D826" s="65"/>
      <c r="E826" s="71"/>
      <c r="F826" s="67"/>
      <c r="G826" s="67"/>
      <c r="H826" s="67"/>
      <c r="I826" s="67"/>
      <c r="J826" s="67"/>
      <c r="K826" s="68"/>
      <c r="L826" s="69"/>
      <c r="M826" s="70"/>
      <c r="N826" s="71"/>
      <c r="O826" s="85"/>
    </row>
    <row r="827" spans="1:15" ht="30" customHeight="1">
      <c r="A827" s="76"/>
      <c r="B827" s="65"/>
      <c r="C827" s="65"/>
      <c r="D827" s="65"/>
      <c r="E827" s="71"/>
      <c r="F827" s="67"/>
      <c r="G827" s="67"/>
      <c r="H827" s="67"/>
      <c r="I827" s="67"/>
      <c r="J827" s="67"/>
      <c r="K827" s="68"/>
      <c r="L827" s="69"/>
      <c r="M827" s="70"/>
      <c r="N827" s="71"/>
      <c r="O827" s="85"/>
    </row>
    <row r="828" spans="1:15" ht="30" customHeight="1">
      <c r="A828" s="76"/>
      <c r="B828" s="65"/>
      <c r="C828" s="65"/>
      <c r="D828" s="65"/>
      <c r="E828" s="71"/>
      <c r="F828" s="67"/>
      <c r="G828" s="67"/>
      <c r="H828" s="67"/>
      <c r="I828" s="67"/>
      <c r="J828" s="67"/>
      <c r="K828" s="68"/>
      <c r="L828" s="69"/>
      <c r="M828" s="70"/>
      <c r="N828" s="71"/>
      <c r="O828" s="85"/>
    </row>
    <row r="829" spans="1:15" ht="30" customHeight="1">
      <c r="A829" s="76"/>
      <c r="B829" s="65"/>
      <c r="C829" s="65"/>
      <c r="D829" s="65"/>
      <c r="E829" s="71"/>
      <c r="F829" s="67"/>
      <c r="G829" s="67"/>
      <c r="H829" s="67"/>
      <c r="I829" s="67"/>
      <c r="J829" s="67"/>
      <c r="K829" s="68"/>
      <c r="L829" s="69"/>
      <c r="M829" s="70"/>
      <c r="N829" s="71"/>
      <c r="O829" s="85"/>
    </row>
    <row r="830" spans="1:15" ht="30" customHeight="1">
      <c r="A830" s="76"/>
      <c r="B830" s="65"/>
      <c r="C830" s="65"/>
      <c r="D830" s="65"/>
      <c r="E830" s="71"/>
      <c r="F830" s="67"/>
      <c r="G830" s="67"/>
      <c r="H830" s="67"/>
      <c r="I830" s="67"/>
      <c r="J830" s="67"/>
      <c r="K830" s="68"/>
      <c r="L830" s="69"/>
      <c r="M830" s="70"/>
      <c r="N830" s="71"/>
      <c r="O830" s="85"/>
    </row>
    <row r="831" spans="1:15" ht="30" customHeight="1">
      <c r="A831" s="76"/>
      <c r="B831" s="65"/>
      <c r="C831" s="65"/>
      <c r="D831" s="65"/>
      <c r="E831" s="71"/>
      <c r="F831" s="67"/>
      <c r="G831" s="67"/>
      <c r="H831" s="67"/>
      <c r="I831" s="67"/>
      <c r="J831" s="67"/>
      <c r="K831" s="68"/>
      <c r="L831" s="69"/>
      <c r="M831" s="70"/>
      <c r="N831" s="71"/>
      <c r="O831" s="85"/>
    </row>
    <row r="832" spans="1:15" ht="30" customHeight="1">
      <c r="A832" s="76"/>
      <c r="B832" s="65"/>
      <c r="C832" s="65"/>
      <c r="D832" s="65"/>
      <c r="E832" s="71"/>
      <c r="F832" s="67"/>
      <c r="G832" s="67"/>
      <c r="H832" s="67"/>
      <c r="I832" s="67"/>
      <c r="J832" s="67"/>
      <c r="K832" s="68"/>
      <c r="L832" s="69"/>
      <c r="M832" s="70"/>
      <c r="N832" s="71"/>
      <c r="O832" s="85"/>
    </row>
    <row r="833" spans="1:15" ht="30" customHeight="1">
      <c r="A833" s="76"/>
      <c r="B833" s="65"/>
      <c r="C833" s="65"/>
      <c r="D833" s="65"/>
      <c r="E833" s="71"/>
      <c r="F833" s="67"/>
      <c r="G833" s="67"/>
      <c r="H833" s="67"/>
      <c r="I833" s="67"/>
      <c r="J833" s="67"/>
      <c r="K833" s="68"/>
      <c r="L833" s="69"/>
      <c r="M833" s="70"/>
      <c r="N833" s="71"/>
      <c r="O833" s="85"/>
    </row>
    <row r="834" spans="1:15" ht="30" customHeight="1">
      <c r="A834" s="76"/>
      <c r="B834" s="65"/>
      <c r="C834" s="65"/>
      <c r="D834" s="65"/>
      <c r="E834" s="71"/>
      <c r="F834" s="67"/>
      <c r="G834" s="67"/>
      <c r="H834" s="67"/>
      <c r="I834" s="67"/>
      <c r="J834" s="67"/>
      <c r="K834" s="68"/>
      <c r="L834" s="69"/>
      <c r="M834" s="70"/>
      <c r="N834" s="71"/>
      <c r="O834" s="85"/>
    </row>
    <row r="835" spans="1:15" ht="30" customHeight="1">
      <c r="A835" s="76"/>
      <c r="B835" s="65"/>
      <c r="C835" s="65"/>
      <c r="D835" s="65"/>
      <c r="E835" s="71"/>
      <c r="F835" s="67"/>
      <c r="G835" s="67"/>
      <c r="H835" s="67"/>
      <c r="I835" s="67"/>
      <c r="J835" s="67"/>
      <c r="K835" s="68"/>
      <c r="L835" s="69"/>
      <c r="M835" s="70"/>
      <c r="N835" s="71"/>
      <c r="O835" s="85"/>
    </row>
    <row r="836" spans="1:15" ht="30" customHeight="1">
      <c r="A836" s="76"/>
      <c r="B836" s="65"/>
      <c r="C836" s="65"/>
      <c r="D836" s="65"/>
      <c r="E836" s="71"/>
      <c r="F836" s="67"/>
      <c r="G836" s="67"/>
      <c r="H836" s="67"/>
      <c r="I836" s="67"/>
      <c r="J836" s="67"/>
      <c r="K836" s="68"/>
      <c r="L836" s="69"/>
      <c r="M836" s="70"/>
      <c r="N836" s="71"/>
      <c r="O836" s="85"/>
    </row>
    <row r="837" spans="1:15" ht="30" customHeight="1">
      <c r="A837" s="76"/>
      <c r="B837" s="65"/>
      <c r="C837" s="65"/>
      <c r="D837" s="65"/>
      <c r="E837" s="71"/>
      <c r="F837" s="67"/>
      <c r="G837" s="67"/>
      <c r="H837" s="67"/>
      <c r="I837" s="67"/>
      <c r="J837" s="67"/>
      <c r="K837" s="68"/>
      <c r="L837" s="69"/>
      <c r="M837" s="70"/>
      <c r="N837" s="71"/>
      <c r="O837" s="85"/>
    </row>
    <row r="838" spans="1:15" ht="30" customHeight="1">
      <c r="A838" s="76"/>
      <c r="B838" s="65"/>
      <c r="C838" s="65"/>
      <c r="D838" s="65"/>
      <c r="E838" s="71"/>
      <c r="F838" s="67"/>
      <c r="G838" s="67"/>
      <c r="H838" s="67"/>
      <c r="I838" s="67"/>
      <c r="J838" s="67"/>
      <c r="K838" s="68"/>
      <c r="L838" s="69"/>
      <c r="M838" s="70"/>
      <c r="N838" s="71"/>
      <c r="O838" s="85"/>
    </row>
    <row r="839" spans="1:15" ht="30" customHeight="1">
      <c r="A839" s="76"/>
      <c r="B839" s="65"/>
      <c r="C839" s="65"/>
      <c r="D839" s="65"/>
      <c r="E839" s="71"/>
      <c r="F839" s="67"/>
      <c r="G839" s="67"/>
      <c r="H839" s="67"/>
      <c r="I839" s="67"/>
      <c r="J839" s="67"/>
      <c r="K839" s="68"/>
      <c r="L839" s="69"/>
      <c r="M839" s="70"/>
      <c r="N839" s="71"/>
      <c r="O839" s="85"/>
    </row>
    <row r="840" spans="1:15" ht="30" customHeight="1">
      <c r="A840" s="76"/>
      <c r="B840" s="65"/>
      <c r="C840" s="65"/>
      <c r="D840" s="65"/>
      <c r="E840" s="71"/>
      <c r="F840" s="67"/>
      <c r="G840" s="67"/>
      <c r="H840" s="67"/>
      <c r="I840" s="67"/>
      <c r="J840" s="67"/>
      <c r="K840" s="68"/>
      <c r="L840" s="69"/>
      <c r="M840" s="70"/>
      <c r="N840" s="71"/>
      <c r="O840" s="85"/>
    </row>
    <row r="841" spans="1:15" ht="30" customHeight="1">
      <c r="A841" s="76"/>
      <c r="B841" s="65"/>
      <c r="C841" s="65"/>
      <c r="D841" s="65"/>
      <c r="E841" s="71"/>
      <c r="F841" s="67"/>
      <c r="G841" s="67"/>
      <c r="H841" s="67"/>
      <c r="I841" s="67"/>
      <c r="J841" s="67"/>
      <c r="K841" s="68"/>
      <c r="L841" s="69"/>
      <c r="M841" s="70"/>
      <c r="N841" s="71"/>
      <c r="O841" s="85"/>
    </row>
    <row r="842" spans="1:15" ht="30" customHeight="1">
      <c r="A842" s="76"/>
      <c r="B842" s="65"/>
      <c r="C842" s="65"/>
      <c r="D842" s="65"/>
      <c r="E842" s="71"/>
      <c r="F842" s="67"/>
      <c r="G842" s="67"/>
      <c r="H842" s="67"/>
      <c r="I842" s="67"/>
      <c r="J842" s="67"/>
      <c r="K842" s="68"/>
      <c r="L842" s="69"/>
      <c r="M842" s="70"/>
      <c r="N842" s="71"/>
      <c r="O842" s="85"/>
    </row>
    <row r="843" spans="1:15" ht="30" customHeight="1">
      <c r="A843" s="76"/>
      <c r="B843" s="65"/>
      <c r="C843" s="65"/>
      <c r="D843" s="65"/>
      <c r="E843" s="71"/>
      <c r="F843" s="67"/>
      <c r="G843" s="67"/>
      <c r="H843" s="67"/>
      <c r="I843" s="67"/>
      <c r="J843" s="67"/>
      <c r="K843" s="68"/>
      <c r="L843" s="69"/>
      <c r="M843" s="70"/>
      <c r="N843" s="71"/>
      <c r="O843" s="85"/>
    </row>
    <row r="844" spans="1:15" ht="30" customHeight="1">
      <c r="A844" s="76"/>
      <c r="B844" s="65"/>
      <c r="C844" s="65"/>
      <c r="D844" s="65"/>
      <c r="E844" s="71"/>
      <c r="F844" s="67"/>
      <c r="G844" s="67"/>
      <c r="H844" s="67"/>
      <c r="I844" s="67"/>
      <c r="J844" s="67"/>
      <c r="K844" s="68"/>
      <c r="L844" s="69"/>
      <c r="M844" s="70"/>
      <c r="N844" s="71"/>
      <c r="O844" s="85"/>
    </row>
    <row r="845" spans="1:15" ht="30" customHeight="1">
      <c r="A845" s="76"/>
      <c r="B845" s="65"/>
      <c r="C845" s="65"/>
      <c r="D845" s="65"/>
      <c r="E845" s="71"/>
      <c r="F845" s="67"/>
      <c r="G845" s="67"/>
      <c r="H845" s="67"/>
      <c r="I845" s="67"/>
      <c r="J845" s="67"/>
      <c r="K845" s="68"/>
      <c r="L845" s="69"/>
      <c r="M845" s="70"/>
      <c r="N845" s="71"/>
      <c r="O845" s="85"/>
    </row>
    <row r="846" spans="1:15" ht="30" customHeight="1">
      <c r="A846" s="76"/>
      <c r="B846" s="65"/>
      <c r="C846" s="65"/>
      <c r="D846" s="65"/>
      <c r="E846" s="71"/>
      <c r="F846" s="67"/>
      <c r="G846" s="67"/>
      <c r="H846" s="67"/>
      <c r="I846" s="67"/>
      <c r="J846" s="67"/>
      <c r="K846" s="68"/>
      <c r="L846" s="69"/>
      <c r="M846" s="70"/>
      <c r="N846" s="71"/>
      <c r="O846" s="85"/>
    </row>
    <row r="847" spans="1:15" ht="30" customHeight="1">
      <c r="A847" s="76"/>
      <c r="B847" s="65"/>
      <c r="C847" s="65"/>
      <c r="D847" s="65"/>
      <c r="E847" s="71"/>
      <c r="F847" s="67"/>
      <c r="G847" s="67"/>
      <c r="H847" s="67"/>
      <c r="I847" s="67"/>
      <c r="J847" s="67"/>
      <c r="K847" s="68"/>
      <c r="L847" s="69"/>
      <c r="M847" s="70"/>
      <c r="N847" s="71"/>
      <c r="O847" s="85"/>
    </row>
    <row r="848" spans="1:15" ht="30" customHeight="1">
      <c r="A848" s="76"/>
      <c r="B848" s="65"/>
      <c r="C848" s="65"/>
      <c r="D848" s="65"/>
      <c r="E848" s="71"/>
      <c r="F848" s="67"/>
      <c r="G848" s="67"/>
      <c r="H848" s="67"/>
      <c r="I848" s="67"/>
      <c r="J848" s="67"/>
      <c r="K848" s="68"/>
      <c r="L848" s="69"/>
      <c r="M848" s="70"/>
      <c r="N848" s="71"/>
      <c r="O848" s="85"/>
    </row>
    <row r="849" spans="1:15" ht="30" customHeight="1">
      <c r="A849" s="76"/>
      <c r="B849" s="65"/>
      <c r="C849" s="65"/>
      <c r="D849" s="65"/>
      <c r="E849" s="71"/>
      <c r="F849" s="67"/>
      <c r="G849" s="67"/>
      <c r="H849" s="67"/>
      <c r="I849" s="67"/>
      <c r="J849" s="67"/>
      <c r="K849" s="68"/>
      <c r="L849" s="69"/>
      <c r="M849" s="70"/>
      <c r="N849" s="71"/>
      <c r="O849" s="85"/>
    </row>
    <row r="850" spans="1:15" ht="30" customHeight="1">
      <c r="A850" s="76"/>
      <c r="B850" s="65"/>
      <c r="C850" s="65"/>
      <c r="D850" s="65"/>
      <c r="E850" s="71"/>
      <c r="F850" s="67"/>
      <c r="G850" s="67"/>
      <c r="H850" s="67"/>
      <c r="I850" s="67"/>
      <c r="J850" s="67"/>
      <c r="K850" s="68"/>
      <c r="L850" s="69"/>
      <c r="M850" s="70"/>
      <c r="N850" s="71"/>
      <c r="O850" s="85"/>
    </row>
    <row r="851" spans="1:15" ht="30" customHeight="1">
      <c r="A851" s="76"/>
      <c r="B851" s="65"/>
      <c r="C851" s="65"/>
      <c r="D851" s="65"/>
      <c r="E851" s="71"/>
      <c r="F851" s="67"/>
      <c r="G851" s="67"/>
      <c r="H851" s="67"/>
      <c r="I851" s="67"/>
      <c r="J851" s="67"/>
      <c r="K851" s="68"/>
      <c r="L851" s="69"/>
      <c r="M851" s="70"/>
      <c r="N851" s="71"/>
      <c r="O851" s="85"/>
    </row>
    <row r="852" spans="1:15" ht="30" customHeight="1">
      <c r="A852" s="76"/>
      <c r="B852" s="65"/>
      <c r="C852" s="65"/>
      <c r="D852" s="65"/>
      <c r="E852" s="71"/>
      <c r="F852" s="67"/>
      <c r="G852" s="67"/>
      <c r="H852" s="67"/>
      <c r="I852" s="67"/>
      <c r="J852" s="67"/>
      <c r="K852" s="68"/>
      <c r="L852" s="69"/>
      <c r="M852" s="70"/>
      <c r="N852" s="71"/>
      <c r="O852" s="85"/>
    </row>
    <row r="853" spans="1:15" ht="30" customHeight="1">
      <c r="A853" s="76"/>
      <c r="B853" s="65"/>
      <c r="C853" s="65"/>
      <c r="D853" s="65"/>
      <c r="E853" s="71"/>
      <c r="F853" s="67"/>
      <c r="G853" s="67"/>
      <c r="H853" s="67"/>
      <c r="I853" s="67"/>
      <c r="J853" s="67"/>
      <c r="K853" s="68"/>
      <c r="L853" s="69"/>
      <c r="M853" s="70"/>
      <c r="N853" s="71"/>
      <c r="O853" s="85"/>
    </row>
    <row r="854" spans="1:15" ht="30" customHeight="1">
      <c r="A854" s="76"/>
      <c r="B854" s="65"/>
      <c r="C854" s="65"/>
      <c r="D854" s="65"/>
      <c r="E854" s="71"/>
      <c r="F854" s="67"/>
      <c r="G854" s="67"/>
      <c r="H854" s="67"/>
      <c r="I854" s="67"/>
      <c r="J854" s="67"/>
      <c r="K854" s="68"/>
      <c r="L854" s="69"/>
      <c r="M854" s="70"/>
      <c r="N854" s="71"/>
      <c r="O854" s="85"/>
    </row>
    <row r="855" spans="1:15" ht="30" customHeight="1">
      <c r="A855" s="76"/>
      <c r="B855" s="65"/>
      <c r="C855" s="65"/>
      <c r="D855" s="65"/>
      <c r="E855" s="71"/>
      <c r="F855" s="67"/>
      <c r="G855" s="67"/>
      <c r="H855" s="67"/>
      <c r="I855" s="67"/>
      <c r="J855" s="67"/>
      <c r="K855" s="68"/>
      <c r="L855" s="69"/>
      <c r="M855" s="70"/>
      <c r="N855" s="71"/>
      <c r="O855" s="85"/>
    </row>
    <row r="856" spans="1:15" ht="30" customHeight="1">
      <c r="A856" s="76"/>
      <c r="B856" s="65"/>
      <c r="C856" s="65"/>
      <c r="D856" s="65"/>
      <c r="E856" s="71"/>
      <c r="F856" s="67"/>
      <c r="G856" s="67"/>
      <c r="H856" s="67"/>
      <c r="I856" s="67"/>
      <c r="J856" s="67"/>
      <c r="K856" s="68"/>
      <c r="L856" s="69"/>
      <c r="M856" s="70"/>
      <c r="N856" s="71"/>
      <c r="O856" s="85"/>
    </row>
    <row r="857" spans="1:15" ht="30" customHeight="1">
      <c r="A857" s="76"/>
      <c r="B857" s="65"/>
      <c r="C857" s="65"/>
      <c r="D857" s="65"/>
      <c r="E857" s="71"/>
      <c r="F857" s="67"/>
      <c r="G857" s="67"/>
      <c r="H857" s="67"/>
      <c r="I857" s="67"/>
      <c r="J857" s="67"/>
      <c r="K857" s="68"/>
      <c r="L857" s="69"/>
      <c r="M857" s="70"/>
      <c r="N857" s="71"/>
      <c r="O857" s="85"/>
    </row>
    <row r="858" spans="1:15" ht="30" customHeight="1">
      <c r="A858" s="76"/>
      <c r="B858" s="65"/>
      <c r="C858" s="65"/>
      <c r="D858" s="65"/>
      <c r="E858" s="71"/>
      <c r="F858" s="67"/>
      <c r="G858" s="67"/>
      <c r="H858" s="67"/>
      <c r="I858" s="67"/>
      <c r="J858" s="67"/>
      <c r="K858" s="68"/>
      <c r="L858" s="69"/>
      <c r="M858" s="70"/>
      <c r="N858" s="71"/>
      <c r="O858" s="85"/>
    </row>
    <row r="859" spans="1:15" ht="30" customHeight="1">
      <c r="A859" s="76"/>
      <c r="B859" s="65"/>
      <c r="C859" s="65"/>
      <c r="D859" s="65"/>
      <c r="E859" s="71"/>
      <c r="F859" s="67"/>
      <c r="G859" s="67"/>
      <c r="H859" s="67"/>
      <c r="I859" s="67"/>
      <c r="J859" s="67"/>
      <c r="K859" s="68"/>
      <c r="L859" s="69"/>
      <c r="M859" s="70"/>
      <c r="N859" s="71"/>
      <c r="O859" s="85"/>
    </row>
    <row r="860" spans="1:15" ht="30" customHeight="1">
      <c r="A860" s="76"/>
      <c r="B860" s="65"/>
      <c r="C860" s="65"/>
      <c r="D860" s="65"/>
      <c r="E860" s="71"/>
      <c r="F860" s="67"/>
      <c r="G860" s="67"/>
      <c r="H860" s="67"/>
      <c r="I860" s="67"/>
      <c r="J860" s="67"/>
      <c r="K860" s="68"/>
      <c r="L860" s="69"/>
      <c r="M860" s="70"/>
      <c r="N860" s="71"/>
      <c r="O860" s="85"/>
    </row>
    <row r="861" spans="1:15" ht="30" customHeight="1">
      <c r="A861" s="76"/>
      <c r="B861" s="65"/>
      <c r="C861" s="65"/>
      <c r="D861" s="65"/>
      <c r="E861" s="71"/>
      <c r="F861" s="67"/>
      <c r="G861" s="67"/>
      <c r="H861" s="67"/>
      <c r="I861" s="67"/>
      <c r="J861" s="67"/>
      <c r="K861" s="68"/>
      <c r="L861" s="69"/>
      <c r="M861" s="70"/>
      <c r="N861" s="71"/>
      <c r="O861" s="85"/>
    </row>
    <row r="862" spans="1:15" ht="30" customHeight="1">
      <c r="A862" s="76"/>
      <c r="B862" s="65"/>
      <c r="C862" s="65"/>
      <c r="D862" s="65"/>
      <c r="E862" s="71"/>
      <c r="F862" s="67"/>
      <c r="G862" s="67"/>
      <c r="H862" s="67"/>
      <c r="I862" s="67"/>
      <c r="J862" s="67"/>
      <c r="K862" s="68"/>
      <c r="L862" s="69"/>
      <c r="M862" s="70"/>
      <c r="N862" s="71"/>
      <c r="O862" s="85"/>
    </row>
    <row r="863" spans="1:15" ht="30" customHeight="1">
      <c r="A863" s="76"/>
      <c r="B863" s="65"/>
      <c r="C863" s="65"/>
      <c r="D863" s="65"/>
      <c r="E863" s="71"/>
      <c r="F863" s="67"/>
      <c r="G863" s="67"/>
      <c r="H863" s="67"/>
      <c r="I863" s="67"/>
      <c r="J863" s="67"/>
      <c r="K863" s="68"/>
      <c r="L863" s="69"/>
      <c r="M863" s="70"/>
      <c r="N863" s="71"/>
      <c r="O863" s="85"/>
    </row>
    <row r="864" spans="1:15" ht="30" customHeight="1">
      <c r="A864" s="76"/>
      <c r="B864" s="65"/>
      <c r="C864" s="65"/>
      <c r="D864" s="65"/>
      <c r="E864" s="71"/>
      <c r="F864" s="67"/>
      <c r="G864" s="67"/>
      <c r="H864" s="67"/>
      <c r="I864" s="67"/>
      <c r="J864" s="67"/>
      <c r="K864" s="68"/>
      <c r="L864" s="69"/>
      <c r="M864" s="70"/>
      <c r="N864" s="71"/>
      <c r="O864" s="85"/>
    </row>
    <row r="865" spans="1:15" ht="30" customHeight="1">
      <c r="A865" s="76"/>
      <c r="B865" s="65"/>
      <c r="C865" s="65"/>
      <c r="D865" s="65"/>
      <c r="E865" s="71"/>
      <c r="F865" s="67"/>
      <c r="G865" s="67"/>
      <c r="H865" s="67"/>
      <c r="I865" s="67"/>
      <c r="J865" s="67"/>
      <c r="K865" s="68"/>
      <c r="L865" s="69"/>
      <c r="M865" s="70"/>
      <c r="N865" s="71"/>
      <c r="O865" s="85"/>
    </row>
    <row r="866" spans="1:15" ht="30" customHeight="1">
      <c r="A866" s="76"/>
      <c r="B866" s="65"/>
      <c r="C866" s="65"/>
      <c r="D866" s="65"/>
      <c r="E866" s="71"/>
      <c r="F866" s="67"/>
      <c r="G866" s="67"/>
      <c r="H866" s="67"/>
      <c r="I866" s="67"/>
      <c r="J866" s="67"/>
      <c r="K866" s="68"/>
      <c r="L866" s="69"/>
      <c r="M866" s="70"/>
      <c r="N866" s="71"/>
      <c r="O866" s="85"/>
    </row>
    <row r="867" spans="1:15" ht="30" customHeight="1">
      <c r="A867" s="76"/>
      <c r="B867" s="65"/>
      <c r="C867" s="65"/>
      <c r="D867" s="65"/>
      <c r="E867" s="71"/>
      <c r="F867" s="67"/>
      <c r="G867" s="67"/>
      <c r="H867" s="67"/>
      <c r="I867" s="67"/>
      <c r="J867" s="67"/>
      <c r="K867" s="68"/>
      <c r="L867" s="69"/>
      <c r="M867" s="70"/>
      <c r="N867" s="71"/>
      <c r="O867" s="85"/>
    </row>
    <row r="868" spans="1:15" ht="30" customHeight="1">
      <c r="A868" s="76"/>
      <c r="B868" s="65"/>
      <c r="C868" s="65"/>
      <c r="D868" s="65"/>
      <c r="E868" s="71"/>
      <c r="F868" s="67"/>
      <c r="G868" s="67"/>
      <c r="H868" s="67"/>
      <c r="I868" s="67"/>
      <c r="J868" s="67"/>
      <c r="K868" s="68"/>
      <c r="L868" s="69"/>
      <c r="M868" s="70"/>
      <c r="N868" s="71"/>
      <c r="O868" s="85"/>
    </row>
    <row r="869" spans="1:15" ht="30" customHeight="1">
      <c r="A869" s="76"/>
      <c r="B869" s="65"/>
      <c r="C869" s="65"/>
      <c r="D869" s="65"/>
      <c r="E869" s="71"/>
      <c r="F869" s="67"/>
      <c r="G869" s="67"/>
      <c r="H869" s="67"/>
      <c r="I869" s="67"/>
      <c r="J869" s="67"/>
      <c r="K869" s="68"/>
      <c r="L869" s="69"/>
      <c r="M869" s="70"/>
      <c r="N869" s="71"/>
      <c r="O869" s="85"/>
    </row>
    <row r="870" spans="1:15" ht="30" customHeight="1">
      <c r="A870" s="76"/>
      <c r="B870" s="65"/>
      <c r="C870" s="65"/>
      <c r="D870" s="65"/>
      <c r="E870" s="71"/>
      <c r="F870" s="67"/>
      <c r="G870" s="67"/>
      <c r="H870" s="67"/>
      <c r="I870" s="67"/>
      <c r="J870" s="67"/>
      <c r="K870" s="68"/>
      <c r="L870" s="69"/>
      <c r="M870" s="70"/>
      <c r="N870" s="71"/>
      <c r="O870" s="85"/>
    </row>
    <row r="871" spans="1:15" ht="30" customHeight="1">
      <c r="A871" s="76"/>
      <c r="B871" s="65"/>
      <c r="C871" s="65"/>
      <c r="D871" s="65"/>
      <c r="E871" s="71"/>
      <c r="F871" s="67"/>
      <c r="G871" s="67"/>
      <c r="H871" s="67"/>
      <c r="I871" s="67"/>
      <c r="J871" s="67"/>
      <c r="K871" s="68"/>
      <c r="L871" s="69"/>
      <c r="M871" s="70"/>
      <c r="N871" s="71"/>
      <c r="O871" s="85"/>
    </row>
    <row r="872" spans="1:15" ht="30" customHeight="1">
      <c r="A872" s="76"/>
      <c r="B872" s="65"/>
      <c r="C872" s="65"/>
      <c r="D872" s="65"/>
      <c r="E872" s="71"/>
      <c r="F872" s="67"/>
      <c r="G872" s="67"/>
      <c r="H872" s="67"/>
      <c r="I872" s="67"/>
      <c r="J872" s="67"/>
      <c r="K872" s="68"/>
      <c r="L872" s="69"/>
      <c r="M872" s="70"/>
      <c r="N872" s="71"/>
      <c r="O872" s="85"/>
    </row>
    <row r="873" spans="1:15" ht="30" customHeight="1">
      <c r="A873" s="76"/>
      <c r="B873" s="65"/>
      <c r="C873" s="65"/>
      <c r="D873" s="65"/>
      <c r="E873" s="71"/>
      <c r="F873" s="67"/>
      <c r="G873" s="67"/>
      <c r="H873" s="67"/>
      <c r="I873" s="67"/>
      <c r="J873" s="67"/>
      <c r="K873" s="68"/>
      <c r="L873" s="69"/>
      <c r="M873" s="70"/>
      <c r="N873" s="71"/>
      <c r="O873" s="85"/>
    </row>
    <row r="874" spans="1:15" ht="30" customHeight="1">
      <c r="A874" s="76"/>
      <c r="B874" s="65"/>
      <c r="C874" s="65"/>
      <c r="D874" s="65"/>
      <c r="E874" s="71"/>
      <c r="F874" s="67"/>
      <c r="G874" s="67"/>
      <c r="H874" s="67"/>
      <c r="I874" s="67"/>
      <c r="J874" s="67"/>
      <c r="K874" s="68"/>
      <c r="L874" s="69"/>
      <c r="M874" s="70"/>
      <c r="N874" s="71"/>
      <c r="O874" s="85"/>
    </row>
    <row r="875" spans="1:15" ht="30" customHeight="1">
      <c r="A875" s="76"/>
      <c r="B875" s="65"/>
      <c r="C875" s="65"/>
      <c r="D875" s="65"/>
      <c r="E875" s="71"/>
      <c r="F875" s="67"/>
      <c r="G875" s="67"/>
      <c r="H875" s="67"/>
      <c r="I875" s="67"/>
      <c r="J875" s="67"/>
      <c r="K875" s="68"/>
      <c r="L875" s="69"/>
      <c r="M875" s="70"/>
      <c r="N875" s="71"/>
      <c r="O875" s="85"/>
    </row>
    <row r="876" spans="1:15" ht="30" customHeight="1">
      <c r="A876" s="76"/>
      <c r="B876" s="65"/>
      <c r="C876" s="65"/>
      <c r="D876" s="65"/>
      <c r="E876" s="71"/>
      <c r="F876" s="67"/>
      <c r="G876" s="67"/>
      <c r="H876" s="67"/>
      <c r="I876" s="67"/>
      <c r="J876" s="67"/>
      <c r="K876" s="68"/>
      <c r="L876" s="69"/>
      <c r="M876" s="70"/>
      <c r="N876" s="71"/>
      <c r="O876" s="85"/>
    </row>
    <row r="877" spans="1:15" ht="30" customHeight="1">
      <c r="A877" s="76"/>
      <c r="B877" s="65"/>
      <c r="C877" s="65"/>
      <c r="D877" s="65"/>
      <c r="E877" s="71"/>
      <c r="F877" s="67"/>
      <c r="G877" s="67"/>
      <c r="H877" s="67"/>
      <c r="I877" s="67"/>
      <c r="J877" s="67"/>
      <c r="K877" s="68"/>
      <c r="L877" s="69"/>
      <c r="M877" s="70"/>
      <c r="N877" s="71"/>
      <c r="O877" s="85"/>
    </row>
    <row r="878" spans="1:15" ht="30" customHeight="1">
      <c r="A878" s="76"/>
      <c r="B878" s="65"/>
      <c r="C878" s="65"/>
      <c r="D878" s="65"/>
      <c r="E878" s="71"/>
      <c r="F878" s="67"/>
      <c r="G878" s="67"/>
      <c r="H878" s="67"/>
      <c r="I878" s="67"/>
      <c r="J878" s="67"/>
      <c r="K878" s="68"/>
      <c r="L878" s="69"/>
      <c r="M878" s="70"/>
      <c r="N878" s="71"/>
      <c r="O878" s="85"/>
    </row>
    <row r="879" spans="1:15" ht="30" customHeight="1">
      <c r="A879" s="76"/>
      <c r="B879" s="65"/>
      <c r="C879" s="65"/>
      <c r="D879" s="65"/>
      <c r="E879" s="71"/>
      <c r="F879" s="67"/>
      <c r="G879" s="67"/>
      <c r="H879" s="67"/>
      <c r="I879" s="67"/>
      <c r="J879" s="67"/>
      <c r="K879" s="68"/>
      <c r="L879" s="69"/>
      <c r="M879" s="70"/>
      <c r="N879" s="71"/>
      <c r="O879" s="85"/>
    </row>
    <row r="880" spans="1:15" ht="30" customHeight="1">
      <c r="A880" s="76"/>
      <c r="B880" s="65"/>
      <c r="C880" s="65"/>
      <c r="D880" s="65"/>
      <c r="E880" s="71"/>
      <c r="F880" s="67"/>
      <c r="G880" s="67"/>
      <c r="H880" s="67"/>
      <c r="I880" s="67"/>
      <c r="J880" s="67"/>
      <c r="K880" s="68"/>
      <c r="L880" s="69"/>
      <c r="M880" s="70"/>
      <c r="N880" s="71"/>
      <c r="O880" s="85"/>
    </row>
    <row r="881" spans="1:15" ht="30" customHeight="1">
      <c r="A881" s="76"/>
      <c r="B881" s="65"/>
      <c r="C881" s="65"/>
      <c r="D881" s="65"/>
      <c r="E881" s="71"/>
      <c r="F881" s="67"/>
      <c r="G881" s="67"/>
      <c r="H881" s="67"/>
      <c r="I881" s="67"/>
      <c r="J881" s="67"/>
      <c r="K881" s="68"/>
      <c r="L881" s="69"/>
      <c r="M881" s="70"/>
      <c r="N881" s="71"/>
      <c r="O881" s="85"/>
    </row>
    <row r="882" spans="1:15" ht="30" customHeight="1">
      <c r="A882" s="76"/>
      <c r="B882" s="65"/>
      <c r="C882" s="65"/>
      <c r="D882" s="65"/>
      <c r="E882" s="71"/>
      <c r="F882" s="67"/>
      <c r="G882" s="67"/>
      <c r="H882" s="67"/>
      <c r="I882" s="67"/>
      <c r="J882" s="67"/>
      <c r="K882" s="68"/>
      <c r="L882" s="69"/>
      <c r="M882" s="70"/>
      <c r="N882" s="71"/>
      <c r="O882" s="85"/>
    </row>
    <row r="883" spans="1:15" ht="30" customHeight="1">
      <c r="A883" s="76"/>
      <c r="B883" s="65"/>
      <c r="C883" s="65"/>
      <c r="D883" s="65"/>
      <c r="E883" s="71"/>
      <c r="F883" s="67"/>
      <c r="G883" s="67"/>
      <c r="H883" s="67"/>
      <c r="I883" s="67"/>
      <c r="J883" s="67"/>
      <c r="K883" s="68"/>
      <c r="L883" s="69"/>
      <c r="M883" s="70"/>
      <c r="N883" s="71"/>
      <c r="O883" s="85"/>
    </row>
    <row r="884" spans="1:15" ht="30" customHeight="1">
      <c r="A884" s="76"/>
      <c r="B884" s="65"/>
      <c r="C884" s="65"/>
      <c r="D884" s="65"/>
      <c r="E884" s="71"/>
      <c r="F884" s="67"/>
      <c r="G884" s="67"/>
      <c r="H884" s="67"/>
      <c r="I884" s="67"/>
      <c r="J884" s="67"/>
      <c r="K884" s="68"/>
      <c r="L884" s="69"/>
      <c r="M884" s="70"/>
      <c r="N884" s="71"/>
      <c r="O884" s="85"/>
    </row>
    <row r="885" spans="1:15" ht="30" customHeight="1">
      <c r="A885" s="76"/>
      <c r="B885" s="65"/>
      <c r="C885" s="65"/>
      <c r="D885" s="65"/>
      <c r="E885" s="71"/>
      <c r="F885" s="67"/>
      <c r="G885" s="67"/>
      <c r="H885" s="67"/>
      <c r="I885" s="67"/>
      <c r="J885" s="67"/>
      <c r="K885" s="68"/>
      <c r="L885" s="69"/>
      <c r="M885" s="70"/>
      <c r="N885" s="71"/>
      <c r="O885" s="85"/>
    </row>
    <row r="886" spans="1:15" ht="30" customHeight="1">
      <c r="A886" s="76"/>
      <c r="B886" s="65"/>
      <c r="C886" s="65"/>
      <c r="D886" s="65"/>
      <c r="E886" s="71"/>
      <c r="F886" s="67"/>
      <c r="G886" s="67"/>
      <c r="H886" s="67"/>
      <c r="I886" s="67"/>
      <c r="J886" s="67"/>
      <c r="K886" s="68"/>
      <c r="L886" s="69"/>
      <c r="M886" s="70"/>
      <c r="N886" s="71"/>
      <c r="O886" s="85"/>
    </row>
    <row r="887" spans="1:15" ht="30" customHeight="1">
      <c r="A887" s="76"/>
      <c r="B887" s="65"/>
      <c r="C887" s="65"/>
      <c r="D887" s="65"/>
      <c r="E887" s="71"/>
      <c r="F887" s="67"/>
      <c r="G887" s="67"/>
      <c r="H887" s="67"/>
      <c r="I887" s="67"/>
      <c r="J887" s="67"/>
      <c r="K887" s="68"/>
      <c r="L887" s="69"/>
      <c r="M887" s="70"/>
      <c r="N887" s="71"/>
      <c r="O887" s="85"/>
    </row>
    <row r="888" spans="1:15" ht="30" customHeight="1">
      <c r="A888" s="76"/>
      <c r="B888" s="65"/>
      <c r="C888" s="65"/>
      <c r="D888" s="65"/>
      <c r="E888" s="71"/>
      <c r="F888" s="67"/>
      <c r="G888" s="67"/>
      <c r="H888" s="67"/>
      <c r="I888" s="67"/>
      <c r="J888" s="67"/>
      <c r="K888" s="68"/>
      <c r="L888" s="69"/>
      <c r="M888" s="70"/>
      <c r="N888" s="71"/>
      <c r="O888" s="85"/>
    </row>
    <row r="889" spans="1:15" ht="30" customHeight="1">
      <c r="A889" s="76"/>
      <c r="B889" s="65"/>
      <c r="C889" s="65"/>
      <c r="D889" s="65"/>
      <c r="E889" s="71"/>
      <c r="F889" s="67"/>
      <c r="G889" s="67"/>
      <c r="H889" s="67"/>
      <c r="I889" s="67"/>
      <c r="J889" s="67"/>
      <c r="K889" s="68"/>
      <c r="L889" s="69"/>
      <c r="M889" s="70"/>
      <c r="N889" s="71"/>
      <c r="O889" s="85"/>
    </row>
    <row r="890" spans="1:15" ht="30" customHeight="1">
      <c r="A890" s="76"/>
      <c r="B890" s="65"/>
      <c r="C890" s="65"/>
      <c r="D890" s="65"/>
      <c r="E890" s="71"/>
      <c r="F890" s="67"/>
      <c r="G890" s="67"/>
      <c r="H890" s="67"/>
      <c r="I890" s="67"/>
      <c r="J890" s="67"/>
      <c r="K890" s="68"/>
      <c r="L890" s="69"/>
      <c r="M890" s="70"/>
      <c r="N890" s="71"/>
      <c r="O890" s="85"/>
    </row>
    <row r="891" spans="1:15" ht="30" customHeight="1">
      <c r="A891" s="76"/>
      <c r="B891" s="65"/>
      <c r="C891" s="65"/>
      <c r="D891" s="65"/>
      <c r="E891" s="71"/>
      <c r="F891" s="67"/>
      <c r="G891" s="67"/>
      <c r="H891" s="67"/>
      <c r="I891" s="67"/>
      <c r="J891" s="67"/>
      <c r="K891" s="68"/>
      <c r="L891" s="69"/>
      <c r="M891" s="70"/>
      <c r="N891" s="71"/>
      <c r="O891" s="85"/>
    </row>
    <row r="892" spans="1:15" ht="30" customHeight="1">
      <c r="A892" s="76"/>
      <c r="B892" s="65"/>
      <c r="C892" s="65"/>
      <c r="D892" s="65"/>
      <c r="E892" s="71"/>
      <c r="F892" s="67"/>
      <c r="G892" s="67"/>
      <c r="H892" s="67"/>
      <c r="I892" s="67"/>
      <c r="J892" s="67"/>
      <c r="K892" s="68"/>
      <c r="L892" s="69"/>
      <c r="M892" s="70"/>
      <c r="N892" s="71"/>
      <c r="O892" s="85"/>
    </row>
    <row r="893" spans="1:15" ht="30" customHeight="1">
      <c r="A893" s="76"/>
      <c r="B893" s="65"/>
      <c r="C893" s="65"/>
      <c r="D893" s="65"/>
      <c r="E893" s="71"/>
      <c r="F893" s="67"/>
      <c r="G893" s="67"/>
      <c r="H893" s="67"/>
      <c r="I893" s="67"/>
      <c r="J893" s="67"/>
      <c r="K893" s="68"/>
      <c r="L893" s="69"/>
      <c r="M893" s="70"/>
      <c r="N893" s="71"/>
      <c r="O893" s="85"/>
    </row>
    <row r="894" spans="1:15" ht="30" customHeight="1">
      <c r="A894" s="76"/>
      <c r="B894" s="65"/>
      <c r="C894" s="65"/>
      <c r="D894" s="65"/>
      <c r="E894" s="71"/>
      <c r="F894" s="67"/>
      <c r="G894" s="67"/>
      <c r="H894" s="67"/>
      <c r="I894" s="67"/>
      <c r="J894" s="67"/>
      <c r="K894" s="68"/>
      <c r="L894" s="69"/>
      <c r="M894" s="70"/>
      <c r="N894" s="71"/>
      <c r="O894" s="85"/>
    </row>
    <row r="895" spans="1:15" ht="30" customHeight="1">
      <c r="A895" s="76"/>
      <c r="B895" s="65"/>
      <c r="C895" s="65"/>
      <c r="D895" s="65"/>
      <c r="E895" s="71"/>
      <c r="F895" s="67"/>
      <c r="G895" s="67"/>
      <c r="H895" s="67"/>
      <c r="I895" s="67"/>
      <c r="J895" s="67"/>
      <c r="K895" s="68"/>
      <c r="L895" s="69"/>
      <c r="M895" s="70"/>
      <c r="N895" s="71"/>
      <c r="O895" s="85"/>
    </row>
    <row r="896" spans="1:15" ht="30" customHeight="1">
      <c r="A896" s="76"/>
      <c r="B896" s="65"/>
      <c r="C896" s="65"/>
      <c r="D896" s="65"/>
      <c r="E896" s="71"/>
      <c r="F896" s="67"/>
      <c r="G896" s="67"/>
      <c r="H896" s="67"/>
      <c r="I896" s="67"/>
      <c r="J896" s="67"/>
      <c r="K896" s="68"/>
      <c r="L896" s="69"/>
      <c r="M896" s="70"/>
      <c r="N896" s="71"/>
      <c r="O896" s="85"/>
    </row>
    <row r="897" spans="1:15" ht="30" customHeight="1">
      <c r="A897" s="76"/>
      <c r="B897" s="65"/>
      <c r="C897" s="65"/>
      <c r="D897" s="65"/>
      <c r="E897" s="71"/>
      <c r="F897" s="67"/>
      <c r="G897" s="67"/>
      <c r="H897" s="67"/>
      <c r="I897" s="67"/>
      <c r="J897" s="67"/>
      <c r="K897" s="68"/>
      <c r="L897" s="69"/>
      <c r="M897" s="70"/>
      <c r="N897" s="71"/>
      <c r="O897" s="85"/>
    </row>
    <row r="898" spans="1:15" ht="30" customHeight="1">
      <c r="A898" s="76"/>
      <c r="B898" s="65"/>
      <c r="C898" s="65"/>
      <c r="D898" s="65"/>
      <c r="E898" s="71"/>
      <c r="F898" s="67"/>
      <c r="G898" s="67"/>
      <c r="H898" s="67"/>
      <c r="I898" s="67"/>
      <c r="J898" s="67"/>
      <c r="K898" s="68"/>
      <c r="L898" s="69"/>
      <c r="M898" s="70"/>
      <c r="N898" s="71"/>
      <c r="O898" s="85"/>
    </row>
    <row r="899" spans="1:15" ht="30" customHeight="1">
      <c r="A899" s="76"/>
      <c r="B899" s="65"/>
      <c r="C899" s="65"/>
      <c r="D899" s="65"/>
      <c r="E899" s="71"/>
      <c r="F899" s="67"/>
      <c r="G899" s="67"/>
      <c r="H899" s="67"/>
      <c r="I899" s="67"/>
      <c r="J899" s="67"/>
      <c r="K899" s="68"/>
      <c r="L899" s="69"/>
      <c r="M899" s="70"/>
      <c r="N899" s="71"/>
      <c r="O899" s="85"/>
    </row>
    <row r="900" spans="1:15" ht="30" customHeight="1">
      <c r="A900" s="76"/>
      <c r="B900" s="65"/>
      <c r="C900" s="65"/>
      <c r="D900" s="65"/>
      <c r="E900" s="71"/>
      <c r="F900" s="67"/>
      <c r="G900" s="67"/>
      <c r="H900" s="67"/>
      <c r="I900" s="67"/>
      <c r="J900" s="67"/>
      <c r="K900" s="68"/>
      <c r="L900" s="69"/>
      <c r="M900" s="70"/>
      <c r="N900" s="71"/>
      <c r="O900" s="85"/>
    </row>
    <row r="901" spans="1:15" ht="30" customHeight="1">
      <c r="A901" s="76"/>
      <c r="B901" s="65"/>
      <c r="C901" s="65"/>
      <c r="D901" s="65"/>
      <c r="E901" s="71"/>
      <c r="F901" s="67"/>
      <c r="G901" s="67"/>
      <c r="H901" s="67"/>
      <c r="I901" s="67"/>
      <c r="J901" s="67"/>
      <c r="K901" s="68"/>
      <c r="L901" s="69"/>
      <c r="M901" s="70"/>
      <c r="N901" s="71"/>
      <c r="O901" s="85"/>
    </row>
    <row r="902" spans="1:15" ht="30" customHeight="1">
      <c r="A902" s="76"/>
      <c r="B902" s="65"/>
      <c r="C902" s="65"/>
      <c r="D902" s="65"/>
      <c r="E902" s="71"/>
      <c r="F902" s="67"/>
      <c r="G902" s="67"/>
      <c r="H902" s="67"/>
      <c r="I902" s="67"/>
      <c r="J902" s="67"/>
      <c r="K902" s="68"/>
      <c r="L902" s="69"/>
      <c r="M902" s="70"/>
      <c r="N902" s="71"/>
      <c r="O902" s="85"/>
    </row>
    <row r="903" spans="1:15" ht="30" customHeight="1">
      <c r="A903" s="76"/>
      <c r="B903" s="65"/>
      <c r="C903" s="65"/>
      <c r="D903" s="65"/>
      <c r="E903" s="71"/>
      <c r="F903" s="67"/>
      <c r="G903" s="67"/>
      <c r="H903" s="67"/>
      <c r="I903" s="67"/>
      <c r="J903" s="67"/>
      <c r="K903" s="68"/>
      <c r="L903" s="69"/>
      <c r="M903" s="70"/>
      <c r="N903" s="71"/>
      <c r="O903" s="85"/>
    </row>
    <row r="904" spans="1:15" ht="30" customHeight="1">
      <c r="A904" s="76"/>
      <c r="B904" s="65"/>
      <c r="C904" s="65"/>
      <c r="D904" s="65"/>
      <c r="E904" s="71"/>
      <c r="F904" s="67"/>
      <c r="G904" s="67"/>
      <c r="H904" s="67"/>
      <c r="I904" s="67"/>
      <c r="J904" s="67"/>
      <c r="K904" s="68"/>
      <c r="L904" s="69"/>
      <c r="M904" s="70"/>
      <c r="N904" s="71"/>
      <c r="O904" s="85"/>
    </row>
    <row r="905" spans="1:15" ht="30" customHeight="1">
      <c r="A905" s="76"/>
      <c r="B905" s="65"/>
      <c r="C905" s="65"/>
      <c r="D905" s="65"/>
      <c r="E905" s="71"/>
      <c r="F905" s="67"/>
      <c r="G905" s="67"/>
      <c r="H905" s="67"/>
      <c r="I905" s="67"/>
      <c r="J905" s="67"/>
      <c r="K905" s="68"/>
      <c r="L905" s="69"/>
      <c r="M905" s="70"/>
      <c r="N905" s="71"/>
      <c r="O905" s="85"/>
    </row>
    <row r="906" spans="1:15" ht="30" customHeight="1">
      <c r="A906" s="76"/>
      <c r="B906" s="65"/>
      <c r="C906" s="65"/>
      <c r="D906" s="65"/>
      <c r="E906" s="71"/>
      <c r="F906" s="67"/>
      <c r="G906" s="67"/>
      <c r="H906" s="67"/>
      <c r="I906" s="67"/>
      <c r="J906" s="67"/>
      <c r="K906" s="68"/>
      <c r="L906" s="69"/>
      <c r="M906" s="70"/>
      <c r="N906" s="71"/>
      <c r="O906" s="85"/>
    </row>
    <row r="907" spans="1:15" ht="30" customHeight="1">
      <c r="A907" s="76"/>
      <c r="B907" s="65"/>
      <c r="C907" s="65"/>
      <c r="D907" s="65"/>
      <c r="E907" s="71"/>
      <c r="F907" s="67"/>
      <c r="G907" s="67"/>
      <c r="H907" s="67"/>
      <c r="I907" s="67"/>
      <c r="J907" s="67"/>
      <c r="K907" s="68"/>
      <c r="L907" s="69"/>
      <c r="M907" s="70"/>
      <c r="N907" s="71"/>
      <c r="O907" s="85"/>
    </row>
    <row r="908" spans="1:15" ht="30" customHeight="1">
      <c r="A908" s="76"/>
      <c r="B908" s="65"/>
      <c r="C908" s="65"/>
      <c r="D908" s="65"/>
      <c r="E908" s="71"/>
      <c r="F908" s="67"/>
      <c r="G908" s="67"/>
      <c r="H908" s="67"/>
      <c r="I908" s="67"/>
      <c r="J908" s="67"/>
      <c r="K908" s="68"/>
      <c r="L908" s="69"/>
      <c r="M908" s="70"/>
      <c r="N908" s="71"/>
      <c r="O908" s="85"/>
    </row>
    <row r="909" spans="1:15" ht="30" customHeight="1">
      <c r="A909" s="76"/>
      <c r="B909" s="65"/>
      <c r="C909" s="65"/>
      <c r="D909" s="65"/>
      <c r="E909" s="71"/>
      <c r="F909" s="67"/>
      <c r="G909" s="67"/>
      <c r="H909" s="67"/>
      <c r="I909" s="67"/>
      <c r="J909" s="67"/>
      <c r="K909" s="68"/>
      <c r="L909" s="69"/>
      <c r="M909" s="70"/>
      <c r="N909" s="71"/>
      <c r="O909" s="85"/>
    </row>
    <row r="910" spans="1:15" ht="30" customHeight="1">
      <c r="A910" s="76"/>
      <c r="B910" s="65"/>
      <c r="C910" s="65"/>
      <c r="D910" s="65"/>
      <c r="E910" s="71"/>
      <c r="F910" s="67"/>
      <c r="G910" s="67"/>
      <c r="H910" s="67"/>
      <c r="I910" s="67"/>
      <c r="J910" s="67"/>
      <c r="K910" s="68"/>
      <c r="L910" s="69"/>
      <c r="M910" s="70"/>
      <c r="N910" s="71"/>
      <c r="O910" s="85"/>
    </row>
    <row r="911" spans="1:15" ht="30" customHeight="1">
      <c r="A911" s="76"/>
      <c r="B911" s="65"/>
      <c r="C911" s="65"/>
      <c r="D911" s="65"/>
      <c r="E911" s="71"/>
      <c r="F911" s="67"/>
      <c r="G911" s="67"/>
      <c r="H911" s="67"/>
      <c r="I911" s="67"/>
      <c r="J911" s="67"/>
      <c r="K911" s="68"/>
      <c r="L911" s="69"/>
      <c r="M911" s="70"/>
      <c r="N911" s="71"/>
      <c r="O911" s="85"/>
    </row>
    <row r="912" spans="1:15" ht="30" customHeight="1">
      <c r="A912" s="76"/>
      <c r="B912" s="65"/>
      <c r="C912" s="65"/>
      <c r="D912" s="65"/>
      <c r="E912" s="71"/>
      <c r="F912" s="67"/>
      <c r="G912" s="67"/>
      <c r="H912" s="67"/>
      <c r="I912" s="67"/>
      <c r="J912" s="67"/>
      <c r="K912" s="68"/>
      <c r="L912" s="69"/>
      <c r="M912" s="70"/>
      <c r="N912" s="71"/>
      <c r="O912" s="85"/>
    </row>
    <row r="913" spans="1:15" ht="30" customHeight="1">
      <c r="A913" s="76"/>
      <c r="B913" s="65"/>
      <c r="C913" s="65"/>
      <c r="D913" s="65"/>
      <c r="E913" s="71"/>
      <c r="F913" s="67"/>
      <c r="G913" s="67"/>
      <c r="H913" s="67"/>
      <c r="I913" s="67"/>
      <c r="J913" s="67"/>
      <c r="K913" s="68"/>
      <c r="L913" s="69"/>
      <c r="M913" s="70"/>
      <c r="N913" s="71"/>
      <c r="O913" s="85"/>
    </row>
    <row r="914" spans="1:15" ht="30" customHeight="1">
      <c r="A914" s="76"/>
      <c r="B914" s="65"/>
      <c r="C914" s="65"/>
      <c r="D914" s="65"/>
      <c r="E914" s="71"/>
      <c r="F914" s="67"/>
      <c r="G914" s="67"/>
      <c r="H914" s="67"/>
      <c r="I914" s="67"/>
      <c r="J914" s="67"/>
      <c r="K914" s="68"/>
      <c r="L914" s="69"/>
      <c r="M914" s="70"/>
      <c r="N914" s="71"/>
      <c r="O914" s="85"/>
    </row>
    <row r="915" spans="1:15" ht="30" customHeight="1">
      <c r="A915" s="76"/>
      <c r="B915" s="65"/>
      <c r="C915" s="65"/>
      <c r="D915" s="65"/>
      <c r="E915" s="71"/>
      <c r="F915" s="67"/>
      <c r="G915" s="67"/>
      <c r="H915" s="67"/>
      <c r="I915" s="67"/>
      <c r="J915" s="67"/>
      <c r="K915" s="68"/>
      <c r="L915" s="69"/>
      <c r="M915" s="70"/>
      <c r="N915" s="71"/>
      <c r="O915" s="85"/>
    </row>
    <row r="916" spans="1:15" ht="30" customHeight="1">
      <c r="A916" s="76"/>
      <c r="B916" s="65"/>
      <c r="C916" s="65"/>
      <c r="D916" s="65"/>
      <c r="E916" s="71"/>
      <c r="F916" s="67"/>
      <c r="G916" s="67"/>
      <c r="H916" s="67"/>
      <c r="I916" s="67"/>
      <c r="J916" s="67"/>
      <c r="K916" s="68"/>
      <c r="L916" s="69"/>
      <c r="M916" s="70"/>
      <c r="N916" s="71"/>
      <c r="O916" s="85"/>
    </row>
    <row r="917" spans="1:15" ht="30" customHeight="1">
      <c r="A917" s="76"/>
      <c r="B917" s="65"/>
      <c r="C917" s="65"/>
      <c r="D917" s="65"/>
      <c r="E917" s="71"/>
      <c r="F917" s="67"/>
      <c r="G917" s="67"/>
      <c r="H917" s="67"/>
      <c r="I917" s="67"/>
      <c r="J917" s="67"/>
      <c r="K917" s="68"/>
      <c r="L917" s="69"/>
      <c r="M917" s="70"/>
      <c r="N917" s="71"/>
      <c r="O917" s="85"/>
    </row>
    <row r="918" spans="1:15" ht="30" customHeight="1">
      <c r="A918" s="76"/>
      <c r="B918" s="65"/>
      <c r="C918" s="65"/>
      <c r="D918" s="65"/>
      <c r="E918" s="71"/>
      <c r="F918" s="67"/>
      <c r="G918" s="67"/>
      <c r="H918" s="67"/>
      <c r="I918" s="67"/>
      <c r="J918" s="67"/>
      <c r="K918" s="68"/>
      <c r="L918" s="69"/>
      <c r="M918" s="70"/>
      <c r="N918" s="71"/>
      <c r="O918" s="85"/>
    </row>
    <row r="919" spans="1:15" ht="30" customHeight="1">
      <c r="A919" s="76"/>
      <c r="B919" s="65"/>
      <c r="C919" s="65"/>
      <c r="D919" s="65"/>
      <c r="E919" s="71"/>
      <c r="F919" s="67"/>
      <c r="G919" s="67"/>
      <c r="H919" s="67"/>
      <c r="I919" s="67"/>
      <c r="J919" s="67"/>
      <c r="K919" s="68"/>
      <c r="L919" s="69"/>
      <c r="M919" s="70"/>
      <c r="N919" s="71"/>
      <c r="O919" s="85"/>
    </row>
    <row r="920" spans="1:15" ht="30" customHeight="1">
      <c r="A920" s="76"/>
      <c r="B920" s="65"/>
      <c r="C920" s="65"/>
      <c r="D920" s="65"/>
      <c r="E920" s="71"/>
      <c r="F920" s="67"/>
      <c r="G920" s="67"/>
      <c r="H920" s="67"/>
      <c r="I920" s="67"/>
      <c r="J920" s="67"/>
      <c r="K920" s="68"/>
      <c r="L920" s="69"/>
      <c r="M920" s="70"/>
      <c r="N920" s="71"/>
      <c r="O920" s="85"/>
    </row>
    <row r="921" spans="1:15" ht="30" customHeight="1">
      <c r="A921" s="76"/>
      <c r="B921" s="65"/>
      <c r="C921" s="65"/>
      <c r="D921" s="65"/>
      <c r="E921" s="71"/>
      <c r="F921" s="67"/>
      <c r="G921" s="67"/>
      <c r="H921" s="67"/>
      <c r="I921" s="67"/>
      <c r="J921" s="67"/>
      <c r="K921" s="68"/>
      <c r="L921" s="69"/>
      <c r="M921" s="70"/>
      <c r="N921" s="71"/>
      <c r="O921" s="85"/>
    </row>
    <row r="922" spans="1:15" ht="30" customHeight="1">
      <c r="A922" s="76"/>
      <c r="B922" s="65"/>
      <c r="C922" s="65"/>
      <c r="D922" s="65"/>
      <c r="E922" s="71"/>
      <c r="F922" s="67"/>
      <c r="G922" s="67"/>
      <c r="H922" s="67"/>
      <c r="I922" s="67"/>
      <c r="J922" s="67"/>
      <c r="K922" s="68"/>
      <c r="L922" s="69"/>
      <c r="M922" s="70"/>
      <c r="N922" s="71"/>
      <c r="O922" s="85"/>
    </row>
    <row r="923" spans="1:15" ht="30" customHeight="1">
      <c r="A923" s="76"/>
      <c r="B923" s="65"/>
      <c r="C923" s="65"/>
      <c r="D923" s="65"/>
      <c r="E923" s="71"/>
      <c r="F923" s="67"/>
      <c r="G923" s="67"/>
      <c r="H923" s="67"/>
      <c r="I923" s="67"/>
      <c r="J923" s="67"/>
      <c r="K923" s="68"/>
      <c r="L923" s="69"/>
      <c r="M923" s="70"/>
      <c r="N923" s="71"/>
      <c r="O923" s="85"/>
    </row>
    <row r="924" spans="1:15" ht="30" customHeight="1">
      <c r="A924" s="76"/>
      <c r="B924" s="65"/>
      <c r="C924" s="65"/>
      <c r="D924" s="65"/>
      <c r="E924" s="71"/>
      <c r="F924" s="67"/>
      <c r="G924" s="67"/>
      <c r="H924" s="67"/>
      <c r="I924" s="67"/>
      <c r="J924" s="67"/>
      <c r="K924" s="68"/>
      <c r="L924" s="69"/>
      <c r="M924" s="70"/>
      <c r="N924" s="71"/>
      <c r="O924" s="85"/>
    </row>
    <row r="925" spans="1:15" ht="30" customHeight="1">
      <c r="A925" s="76"/>
      <c r="B925" s="65"/>
      <c r="C925" s="65"/>
      <c r="D925" s="65"/>
      <c r="E925" s="71"/>
      <c r="F925" s="67"/>
      <c r="G925" s="67"/>
      <c r="H925" s="67"/>
      <c r="I925" s="67"/>
      <c r="J925" s="67"/>
      <c r="K925" s="68"/>
      <c r="L925" s="69"/>
      <c r="M925" s="70"/>
      <c r="N925" s="71"/>
      <c r="O925" s="85"/>
    </row>
    <row r="926" spans="1:15" ht="30" customHeight="1">
      <c r="A926" s="76"/>
      <c r="B926" s="65"/>
      <c r="C926" s="65"/>
      <c r="D926" s="65"/>
      <c r="E926" s="71"/>
      <c r="F926" s="67"/>
      <c r="G926" s="67"/>
      <c r="H926" s="67"/>
      <c r="I926" s="67"/>
      <c r="J926" s="67"/>
      <c r="K926" s="68"/>
      <c r="L926" s="69"/>
      <c r="M926" s="70"/>
      <c r="N926" s="71"/>
      <c r="O926" s="85"/>
    </row>
    <row r="927" spans="1:15" ht="30" customHeight="1">
      <c r="A927" s="76"/>
      <c r="B927" s="65"/>
      <c r="C927" s="65"/>
      <c r="D927" s="65"/>
      <c r="E927" s="71"/>
      <c r="F927" s="67"/>
      <c r="G927" s="67"/>
      <c r="H927" s="67"/>
      <c r="I927" s="67"/>
      <c r="J927" s="67"/>
      <c r="K927" s="68"/>
      <c r="L927" s="69"/>
      <c r="M927" s="70"/>
      <c r="N927" s="71"/>
      <c r="O927" s="85"/>
    </row>
    <row r="928" spans="1:15" ht="30" customHeight="1">
      <c r="A928" s="76"/>
      <c r="B928" s="65"/>
      <c r="C928" s="65"/>
      <c r="D928" s="65"/>
      <c r="E928" s="71"/>
      <c r="F928" s="67"/>
      <c r="G928" s="67"/>
      <c r="H928" s="67"/>
      <c r="I928" s="67"/>
      <c r="J928" s="67"/>
      <c r="K928" s="68"/>
      <c r="L928" s="69"/>
      <c r="M928" s="70"/>
      <c r="N928" s="71"/>
      <c r="O928" s="85"/>
    </row>
    <row r="929" spans="1:15" ht="30" customHeight="1">
      <c r="A929" s="76"/>
      <c r="B929" s="65"/>
      <c r="C929" s="65"/>
      <c r="D929" s="65"/>
      <c r="E929" s="71"/>
      <c r="F929" s="67"/>
      <c r="G929" s="67"/>
      <c r="H929" s="67"/>
      <c r="I929" s="67"/>
      <c r="J929" s="67"/>
      <c r="K929" s="68"/>
      <c r="L929" s="69"/>
      <c r="M929" s="70"/>
      <c r="N929" s="71"/>
      <c r="O929" s="85"/>
    </row>
    <row r="930" spans="1:15" ht="30" customHeight="1">
      <c r="A930" s="76"/>
      <c r="B930" s="65"/>
      <c r="C930" s="65"/>
      <c r="D930" s="65"/>
      <c r="E930" s="71"/>
      <c r="F930" s="67"/>
      <c r="G930" s="67"/>
      <c r="H930" s="67"/>
      <c r="I930" s="67"/>
      <c r="J930" s="67"/>
      <c r="K930" s="68"/>
      <c r="L930" s="69"/>
      <c r="M930" s="70"/>
      <c r="N930" s="71"/>
      <c r="O930" s="85"/>
    </row>
    <row r="931" spans="1:15" ht="30" customHeight="1">
      <c r="A931" s="76"/>
      <c r="B931" s="65"/>
      <c r="C931" s="65"/>
      <c r="D931" s="65"/>
      <c r="E931" s="71"/>
      <c r="F931" s="67"/>
      <c r="G931" s="67"/>
      <c r="H931" s="67"/>
      <c r="I931" s="67"/>
      <c r="J931" s="67"/>
      <c r="K931" s="68"/>
      <c r="L931" s="69"/>
      <c r="M931" s="70"/>
      <c r="N931" s="71"/>
      <c r="O931" s="85"/>
    </row>
    <row r="932" spans="1:15" ht="30" customHeight="1">
      <c r="A932" s="76"/>
      <c r="B932" s="65"/>
      <c r="C932" s="65"/>
      <c r="D932" s="65"/>
      <c r="E932" s="71"/>
      <c r="F932" s="67"/>
      <c r="G932" s="67"/>
      <c r="H932" s="67"/>
      <c r="I932" s="67"/>
      <c r="J932" s="67"/>
      <c r="K932" s="68"/>
      <c r="L932" s="69"/>
      <c r="M932" s="70"/>
      <c r="N932" s="71"/>
      <c r="O932" s="85"/>
    </row>
    <row r="933" spans="1:15" ht="30" customHeight="1">
      <c r="A933" s="76"/>
      <c r="B933" s="65"/>
      <c r="C933" s="65"/>
      <c r="D933" s="65"/>
      <c r="E933" s="71"/>
      <c r="F933" s="67"/>
      <c r="G933" s="67"/>
      <c r="H933" s="67"/>
      <c r="I933" s="67"/>
      <c r="J933" s="67"/>
      <c r="K933" s="68"/>
      <c r="L933" s="69"/>
      <c r="M933" s="70"/>
      <c r="N933" s="71"/>
      <c r="O933" s="85"/>
    </row>
    <row r="934" spans="1:15" ht="30" customHeight="1">
      <c r="A934" s="76"/>
      <c r="B934" s="65"/>
      <c r="C934" s="65"/>
      <c r="D934" s="65"/>
      <c r="E934" s="71"/>
      <c r="F934" s="67"/>
      <c r="G934" s="67"/>
      <c r="H934" s="67"/>
      <c r="I934" s="67"/>
      <c r="J934" s="67"/>
      <c r="K934" s="68"/>
      <c r="L934" s="69"/>
      <c r="M934" s="70"/>
      <c r="N934" s="71"/>
      <c r="O934" s="85"/>
    </row>
    <row r="935" spans="1:15" ht="30" customHeight="1">
      <c r="A935" s="76"/>
      <c r="B935" s="65"/>
      <c r="C935" s="65"/>
      <c r="D935" s="65"/>
      <c r="E935" s="71"/>
      <c r="F935" s="67"/>
      <c r="G935" s="67"/>
      <c r="H935" s="67"/>
      <c r="I935" s="67"/>
      <c r="J935" s="67"/>
      <c r="K935" s="68"/>
      <c r="L935" s="69"/>
      <c r="M935" s="70"/>
      <c r="N935" s="71"/>
      <c r="O935" s="85"/>
    </row>
    <row r="936" spans="1:15" ht="30" customHeight="1">
      <c r="A936" s="76"/>
      <c r="B936" s="65"/>
      <c r="C936" s="65"/>
      <c r="D936" s="65"/>
      <c r="E936" s="71"/>
      <c r="F936" s="67"/>
      <c r="G936" s="67"/>
      <c r="H936" s="67"/>
      <c r="I936" s="67"/>
      <c r="J936" s="67"/>
      <c r="K936" s="68"/>
      <c r="L936" s="69"/>
      <c r="M936" s="70"/>
      <c r="N936" s="71"/>
      <c r="O936" s="85"/>
    </row>
    <row r="937" spans="1:15" ht="30" customHeight="1">
      <c r="A937" s="76"/>
      <c r="B937" s="65"/>
      <c r="C937" s="65"/>
      <c r="D937" s="65"/>
      <c r="E937" s="71"/>
      <c r="F937" s="67"/>
      <c r="G937" s="67"/>
      <c r="H937" s="67"/>
      <c r="I937" s="67"/>
      <c r="J937" s="67"/>
      <c r="K937" s="68"/>
      <c r="L937" s="69"/>
      <c r="M937" s="70"/>
      <c r="N937" s="71"/>
      <c r="O937" s="85"/>
    </row>
    <row r="938" spans="1:15" ht="30" customHeight="1">
      <c r="A938" s="76"/>
      <c r="B938" s="65"/>
      <c r="C938" s="65"/>
      <c r="D938" s="65"/>
      <c r="E938" s="71"/>
      <c r="F938" s="67"/>
      <c r="G938" s="67"/>
      <c r="H938" s="67"/>
      <c r="I938" s="67"/>
      <c r="J938" s="67"/>
      <c r="K938" s="68"/>
      <c r="L938" s="69"/>
      <c r="M938" s="70"/>
      <c r="N938" s="71"/>
      <c r="O938" s="85"/>
    </row>
    <row r="939" spans="1:15" ht="30" customHeight="1">
      <c r="A939" s="76"/>
      <c r="B939" s="65"/>
      <c r="C939" s="65"/>
      <c r="D939" s="65"/>
      <c r="E939" s="71"/>
      <c r="F939" s="67"/>
      <c r="G939" s="67"/>
      <c r="H939" s="67"/>
      <c r="I939" s="67"/>
      <c r="J939" s="67"/>
      <c r="K939" s="68"/>
      <c r="L939" s="69"/>
      <c r="M939" s="70"/>
      <c r="N939" s="71"/>
      <c r="O939" s="85"/>
    </row>
    <row r="940" spans="1:15" ht="30" customHeight="1">
      <c r="A940" s="76"/>
      <c r="B940" s="65"/>
      <c r="C940" s="65"/>
      <c r="D940" s="65"/>
      <c r="E940" s="71"/>
      <c r="F940" s="67"/>
      <c r="G940" s="67"/>
      <c r="H940" s="67"/>
      <c r="I940" s="67"/>
      <c r="J940" s="67"/>
      <c r="K940" s="68"/>
      <c r="L940" s="69"/>
      <c r="M940" s="70"/>
      <c r="N940" s="71"/>
      <c r="O940" s="85"/>
    </row>
    <row r="941" spans="1:15" ht="30" customHeight="1">
      <c r="A941" s="76"/>
      <c r="B941" s="65"/>
      <c r="C941" s="65"/>
      <c r="D941" s="65"/>
      <c r="E941" s="71"/>
      <c r="F941" s="67"/>
      <c r="G941" s="67"/>
      <c r="H941" s="67"/>
      <c r="I941" s="67"/>
      <c r="J941" s="67"/>
      <c r="K941" s="68"/>
      <c r="L941" s="69"/>
      <c r="M941" s="70"/>
      <c r="N941" s="71"/>
      <c r="O941" s="85"/>
    </row>
    <row r="942" spans="1:15" ht="30" customHeight="1">
      <c r="A942" s="76"/>
      <c r="B942" s="65"/>
      <c r="C942" s="65"/>
      <c r="D942" s="65"/>
      <c r="E942" s="71"/>
      <c r="F942" s="67"/>
      <c r="G942" s="67"/>
      <c r="H942" s="67"/>
      <c r="I942" s="67"/>
      <c r="J942" s="67"/>
      <c r="K942" s="68"/>
      <c r="L942" s="69"/>
      <c r="M942" s="70"/>
      <c r="N942" s="71"/>
      <c r="O942" s="85"/>
    </row>
    <row r="943" spans="1:15" ht="30" customHeight="1">
      <c r="A943" s="76"/>
      <c r="B943" s="65"/>
      <c r="C943" s="65"/>
      <c r="D943" s="65"/>
      <c r="E943" s="71"/>
      <c r="F943" s="67"/>
      <c r="G943" s="67"/>
      <c r="H943" s="67"/>
      <c r="I943" s="67"/>
      <c r="J943" s="67"/>
      <c r="K943" s="68"/>
      <c r="L943" s="69"/>
      <c r="M943" s="70"/>
      <c r="N943" s="71"/>
      <c r="O943" s="85"/>
    </row>
    <row r="944" spans="1:15" ht="30" customHeight="1">
      <c r="A944" s="76"/>
      <c r="B944" s="65"/>
      <c r="C944" s="65"/>
      <c r="D944" s="65"/>
      <c r="E944" s="71"/>
      <c r="F944" s="67"/>
      <c r="G944" s="67"/>
      <c r="H944" s="67"/>
      <c r="I944" s="67"/>
      <c r="J944" s="67"/>
      <c r="K944" s="68"/>
      <c r="L944" s="69"/>
      <c r="M944" s="70"/>
      <c r="N944" s="71"/>
      <c r="O944" s="85"/>
    </row>
    <row r="945" spans="1:15" ht="30" customHeight="1">
      <c r="A945" s="76"/>
      <c r="B945" s="65"/>
      <c r="C945" s="65"/>
      <c r="D945" s="65"/>
      <c r="E945" s="71"/>
      <c r="F945" s="67"/>
      <c r="G945" s="67"/>
      <c r="H945" s="67"/>
      <c r="I945" s="67"/>
      <c r="J945" s="67"/>
      <c r="K945" s="68"/>
      <c r="L945" s="69"/>
      <c r="M945" s="70"/>
      <c r="N945" s="71"/>
      <c r="O945" s="85"/>
    </row>
    <row r="946" spans="1:15" ht="30" customHeight="1">
      <c r="A946" s="76"/>
      <c r="B946" s="65"/>
      <c r="C946" s="65"/>
      <c r="D946" s="65"/>
      <c r="E946" s="71"/>
      <c r="F946" s="67"/>
      <c r="G946" s="67"/>
      <c r="H946" s="67"/>
      <c r="I946" s="67"/>
      <c r="J946" s="67"/>
      <c r="K946" s="68"/>
      <c r="L946" s="69"/>
      <c r="M946" s="70"/>
      <c r="N946" s="71"/>
      <c r="O946" s="85"/>
    </row>
    <row r="947" spans="1:15" ht="30" customHeight="1">
      <c r="A947" s="76"/>
      <c r="B947" s="65"/>
      <c r="C947" s="65"/>
      <c r="D947" s="65"/>
      <c r="E947" s="71"/>
      <c r="F947" s="67"/>
      <c r="G947" s="67"/>
      <c r="H947" s="67"/>
      <c r="I947" s="67"/>
      <c r="J947" s="67"/>
      <c r="K947" s="68"/>
      <c r="L947" s="69"/>
      <c r="M947" s="70"/>
      <c r="N947" s="71"/>
      <c r="O947" s="85"/>
    </row>
    <row r="948" spans="1:15" ht="30" customHeight="1">
      <c r="A948" s="76"/>
      <c r="B948" s="65"/>
      <c r="C948" s="65"/>
      <c r="D948" s="65"/>
      <c r="E948" s="71"/>
      <c r="F948" s="67"/>
      <c r="G948" s="67"/>
      <c r="H948" s="67"/>
      <c r="I948" s="67"/>
      <c r="J948" s="67"/>
      <c r="K948" s="68"/>
      <c r="L948" s="69"/>
      <c r="M948" s="70"/>
      <c r="N948" s="71"/>
      <c r="O948" s="85"/>
    </row>
    <row r="949" spans="1:15" ht="30" customHeight="1">
      <c r="A949" s="76"/>
      <c r="B949" s="65"/>
      <c r="C949" s="65"/>
      <c r="D949" s="65"/>
      <c r="E949" s="71"/>
      <c r="F949" s="67"/>
      <c r="G949" s="67"/>
      <c r="H949" s="67"/>
      <c r="I949" s="67"/>
      <c r="J949" s="67"/>
      <c r="K949" s="68"/>
      <c r="L949" s="69"/>
      <c r="M949" s="70"/>
      <c r="N949" s="71"/>
      <c r="O949" s="85"/>
    </row>
    <row r="950" spans="1:15" ht="30" customHeight="1">
      <c r="A950" s="76"/>
      <c r="B950" s="65"/>
      <c r="C950" s="65"/>
      <c r="D950" s="65"/>
      <c r="E950" s="71"/>
      <c r="F950" s="67"/>
      <c r="G950" s="67"/>
      <c r="H950" s="67"/>
      <c r="I950" s="67"/>
      <c r="J950" s="67"/>
      <c r="K950" s="68"/>
      <c r="L950" s="69"/>
      <c r="M950" s="70"/>
      <c r="N950" s="71"/>
      <c r="O950" s="85"/>
    </row>
    <row r="951" spans="1:15" ht="30" customHeight="1">
      <c r="A951" s="76"/>
      <c r="B951" s="65"/>
      <c r="C951" s="65"/>
      <c r="D951" s="65"/>
      <c r="E951" s="71"/>
      <c r="F951" s="67"/>
      <c r="G951" s="67"/>
      <c r="H951" s="67"/>
      <c r="I951" s="67"/>
      <c r="J951" s="67"/>
      <c r="K951" s="68"/>
      <c r="L951" s="69"/>
      <c r="M951" s="70"/>
      <c r="N951" s="71"/>
      <c r="O951" s="85"/>
    </row>
    <row r="952" spans="1:15" ht="30" customHeight="1">
      <c r="A952" s="76"/>
      <c r="B952" s="65"/>
      <c r="C952" s="65"/>
      <c r="D952" s="65"/>
      <c r="E952" s="71"/>
      <c r="F952" s="67"/>
      <c r="G952" s="67"/>
      <c r="H952" s="67"/>
      <c r="I952" s="67"/>
      <c r="J952" s="67"/>
      <c r="K952" s="68"/>
      <c r="L952" s="69"/>
      <c r="M952" s="70"/>
      <c r="N952" s="71"/>
      <c r="O952" s="85"/>
    </row>
    <row r="953" spans="1:15" ht="30" customHeight="1">
      <c r="A953" s="76"/>
      <c r="B953" s="65"/>
      <c r="C953" s="65"/>
      <c r="D953" s="65"/>
      <c r="E953" s="71"/>
      <c r="F953" s="67"/>
      <c r="G953" s="67"/>
      <c r="H953" s="67"/>
      <c r="I953" s="67"/>
      <c r="J953" s="67"/>
      <c r="K953" s="68"/>
      <c r="L953" s="69"/>
      <c r="M953" s="70"/>
      <c r="N953" s="71"/>
      <c r="O953" s="85"/>
    </row>
    <row r="954" spans="1:15" ht="30" customHeight="1">
      <c r="A954" s="76"/>
      <c r="B954" s="65"/>
      <c r="C954" s="65"/>
      <c r="D954" s="65"/>
      <c r="E954" s="71"/>
      <c r="F954" s="67"/>
      <c r="G954" s="67"/>
      <c r="H954" s="67"/>
      <c r="I954" s="67"/>
      <c r="J954" s="67"/>
      <c r="K954" s="68"/>
      <c r="L954" s="69"/>
      <c r="M954" s="70"/>
      <c r="N954" s="71"/>
      <c r="O954" s="85"/>
    </row>
    <row r="955" spans="1:15" ht="30" customHeight="1">
      <c r="A955" s="76"/>
      <c r="B955" s="65"/>
      <c r="C955" s="65"/>
      <c r="D955" s="65"/>
      <c r="E955" s="71"/>
      <c r="F955" s="67"/>
      <c r="G955" s="67"/>
      <c r="H955" s="67"/>
      <c r="I955" s="67"/>
      <c r="J955" s="67"/>
      <c r="K955" s="68"/>
      <c r="L955" s="69"/>
      <c r="M955" s="70"/>
      <c r="N955" s="71"/>
      <c r="O955" s="85"/>
    </row>
    <row r="956" spans="1:15" ht="30" customHeight="1">
      <c r="A956" s="76"/>
      <c r="B956" s="65"/>
      <c r="C956" s="65"/>
      <c r="D956" s="65"/>
      <c r="E956" s="71"/>
      <c r="F956" s="67"/>
      <c r="G956" s="67"/>
      <c r="H956" s="67"/>
      <c r="I956" s="67"/>
      <c r="J956" s="67"/>
      <c r="K956" s="68"/>
      <c r="L956" s="69"/>
      <c r="M956" s="70"/>
      <c r="N956" s="71"/>
      <c r="O956" s="85"/>
    </row>
    <row r="957" spans="1:15" ht="30" customHeight="1">
      <c r="A957" s="76"/>
      <c r="B957" s="65"/>
      <c r="C957" s="65"/>
      <c r="D957" s="65"/>
      <c r="E957" s="71"/>
      <c r="F957" s="67"/>
      <c r="G957" s="67"/>
      <c r="H957" s="67"/>
      <c r="I957" s="67"/>
      <c r="J957" s="67"/>
      <c r="K957" s="68"/>
      <c r="L957" s="69"/>
      <c r="M957" s="70"/>
      <c r="N957" s="71"/>
      <c r="O957" s="85"/>
    </row>
    <row r="958" spans="1:15" ht="30" customHeight="1">
      <c r="A958" s="76"/>
      <c r="B958" s="65"/>
      <c r="C958" s="65"/>
      <c r="D958" s="65"/>
      <c r="E958" s="71"/>
      <c r="F958" s="67"/>
      <c r="G958" s="67"/>
      <c r="H958" s="67"/>
      <c r="I958" s="67"/>
      <c r="J958" s="67"/>
      <c r="K958" s="68"/>
      <c r="L958" s="69"/>
      <c r="M958" s="70"/>
      <c r="N958" s="71"/>
      <c r="O958" s="85"/>
    </row>
    <row r="959" spans="1:15" ht="30" customHeight="1">
      <c r="A959" s="76"/>
      <c r="B959" s="65"/>
      <c r="C959" s="65"/>
      <c r="D959" s="65"/>
      <c r="E959" s="71"/>
      <c r="F959" s="67"/>
      <c r="G959" s="67"/>
      <c r="H959" s="67"/>
      <c r="I959" s="67"/>
      <c r="J959" s="67"/>
      <c r="K959" s="68"/>
      <c r="L959" s="69"/>
      <c r="M959" s="70"/>
      <c r="N959" s="71"/>
      <c r="O959" s="85"/>
    </row>
    <row r="960" spans="1:15" ht="30" customHeight="1">
      <c r="A960" s="76"/>
      <c r="B960" s="65"/>
      <c r="C960" s="65"/>
      <c r="D960" s="65"/>
      <c r="E960" s="71"/>
      <c r="F960" s="67"/>
      <c r="G960" s="67"/>
      <c r="H960" s="67"/>
      <c r="I960" s="67"/>
      <c r="J960" s="67"/>
      <c r="K960" s="68"/>
      <c r="L960" s="69"/>
      <c r="M960" s="70"/>
      <c r="N960" s="71"/>
      <c r="O960" s="85"/>
    </row>
    <row r="961" spans="1:15" ht="30" customHeight="1">
      <c r="A961" s="76"/>
      <c r="B961" s="65"/>
      <c r="C961" s="65"/>
      <c r="D961" s="65"/>
      <c r="E961" s="71"/>
      <c r="F961" s="67"/>
      <c r="G961" s="67"/>
      <c r="H961" s="67"/>
      <c r="I961" s="67"/>
      <c r="J961" s="67"/>
      <c r="K961" s="68"/>
      <c r="L961" s="69"/>
      <c r="M961" s="70"/>
      <c r="N961" s="71"/>
      <c r="O961" s="85"/>
    </row>
    <row r="962" spans="1:15" ht="30" customHeight="1">
      <c r="A962" s="76"/>
      <c r="B962" s="65"/>
      <c r="C962" s="65"/>
      <c r="D962" s="65"/>
      <c r="E962" s="71"/>
      <c r="F962" s="67"/>
      <c r="G962" s="67"/>
      <c r="H962" s="67"/>
      <c r="I962" s="67"/>
      <c r="J962" s="67"/>
      <c r="K962" s="68"/>
      <c r="L962" s="69"/>
      <c r="M962" s="70"/>
      <c r="N962" s="71"/>
      <c r="O962" s="85"/>
    </row>
    <row r="963" spans="1:15" ht="30" customHeight="1">
      <c r="A963" s="76"/>
      <c r="B963" s="65"/>
      <c r="C963" s="65"/>
      <c r="D963" s="65"/>
      <c r="E963" s="71"/>
      <c r="F963" s="67"/>
      <c r="G963" s="67"/>
      <c r="H963" s="67"/>
      <c r="I963" s="67"/>
      <c r="J963" s="67"/>
      <c r="K963" s="68"/>
      <c r="L963" s="69"/>
      <c r="M963" s="70"/>
      <c r="N963" s="71"/>
      <c r="O963" s="85"/>
    </row>
    <row r="964" spans="1:15" ht="30" customHeight="1">
      <c r="A964" s="76"/>
      <c r="B964" s="65"/>
      <c r="C964" s="65"/>
      <c r="D964" s="65"/>
      <c r="E964" s="71"/>
      <c r="F964" s="67"/>
      <c r="G964" s="67"/>
      <c r="H964" s="67"/>
      <c r="I964" s="67"/>
      <c r="J964" s="67"/>
      <c r="K964" s="68"/>
      <c r="L964" s="69"/>
      <c r="M964" s="70"/>
      <c r="N964" s="71"/>
      <c r="O964" s="85"/>
    </row>
    <row r="965" spans="1:15" ht="30" customHeight="1">
      <c r="A965" s="76"/>
      <c r="B965" s="65"/>
      <c r="C965" s="65"/>
      <c r="D965" s="65"/>
      <c r="E965" s="71"/>
      <c r="F965" s="67"/>
      <c r="G965" s="67"/>
      <c r="H965" s="67"/>
      <c r="I965" s="67"/>
      <c r="J965" s="67"/>
      <c r="K965" s="68"/>
      <c r="L965" s="69"/>
      <c r="M965" s="70"/>
      <c r="N965" s="71"/>
      <c r="O965" s="85"/>
    </row>
    <row r="966" spans="1:15" ht="30" customHeight="1">
      <c r="A966" s="76"/>
      <c r="B966" s="65"/>
      <c r="C966" s="65"/>
      <c r="D966" s="65"/>
      <c r="E966" s="71"/>
      <c r="F966" s="67"/>
      <c r="G966" s="67"/>
      <c r="H966" s="67"/>
      <c r="I966" s="67"/>
      <c r="J966" s="67"/>
      <c r="K966" s="68"/>
      <c r="L966" s="69"/>
      <c r="M966" s="70"/>
      <c r="N966" s="71"/>
      <c r="O966" s="85"/>
    </row>
    <row r="967" spans="1:15" ht="30" customHeight="1">
      <c r="A967" s="76"/>
      <c r="B967" s="65"/>
      <c r="C967" s="65"/>
      <c r="D967" s="65"/>
      <c r="E967" s="71"/>
      <c r="F967" s="67"/>
      <c r="G967" s="67"/>
      <c r="H967" s="67"/>
      <c r="I967" s="67"/>
      <c r="J967" s="67"/>
      <c r="K967" s="68"/>
      <c r="L967" s="69"/>
      <c r="M967" s="70"/>
      <c r="N967" s="71"/>
      <c r="O967" s="85"/>
    </row>
    <row r="968" spans="1:15" ht="30" customHeight="1">
      <c r="A968" s="76"/>
      <c r="B968" s="65"/>
      <c r="C968" s="65"/>
      <c r="D968" s="65"/>
      <c r="E968" s="71"/>
      <c r="F968" s="67"/>
      <c r="G968" s="67"/>
      <c r="H968" s="67"/>
      <c r="I968" s="67"/>
      <c r="J968" s="67"/>
      <c r="K968" s="68"/>
      <c r="L968" s="69"/>
      <c r="M968" s="70"/>
      <c r="N968" s="71"/>
      <c r="O968" s="85"/>
    </row>
    <row r="969" spans="1:15" ht="30" customHeight="1">
      <c r="A969" s="76"/>
      <c r="B969" s="65"/>
      <c r="C969" s="65"/>
      <c r="D969" s="65"/>
      <c r="E969" s="71"/>
      <c r="F969" s="67"/>
      <c r="G969" s="67"/>
      <c r="H969" s="67"/>
      <c r="I969" s="67"/>
      <c r="J969" s="67"/>
      <c r="K969" s="68"/>
      <c r="L969" s="69"/>
      <c r="M969" s="70"/>
      <c r="N969" s="71"/>
      <c r="O969" s="85"/>
    </row>
    <row r="970" spans="1:15" ht="30" customHeight="1">
      <c r="A970" s="76"/>
      <c r="B970" s="65"/>
      <c r="C970" s="65"/>
      <c r="D970" s="65"/>
      <c r="E970" s="71"/>
      <c r="F970" s="67"/>
      <c r="G970" s="67"/>
      <c r="H970" s="67"/>
      <c r="I970" s="67"/>
      <c r="J970" s="67"/>
      <c r="K970" s="68"/>
      <c r="L970" s="69"/>
      <c r="M970" s="70"/>
      <c r="N970" s="71"/>
      <c r="O970" s="85"/>
    </row>
    <row r="971" spans="1:15" ht="30" customHeight="1">
      <c r="A971" s="76"/>
      <c r="B971" s="65"/>
      <c r="C971" s="65"/>
      <c r="D971" s="65"/>
      <c r="E971" s="71"/>
      <c r="F971" s="67"/>
      <c r="G971" s="67"/>
      <c r="H971" s="67"/>
      <c r="I971" s="67"/>
      <c r="J971" s="67"/>
      <c r="K971" s="68"/>
      <c r="L971" s="69"/>
      <c r="M971" s="70"/>
      <c r="N971" s="71"/>
      <c r="O971" s="85"/>
    </row>
    <row r="972" spans="1:15" ht="30" customHeight="1">
      <c r="A972" s="76"/>
      <c r="B972" s="65"/>
      <c r="C972" s="65"/>
      <c r="D972" s="65"/>
      <c r="E972" s="71"/>
      <c r="F972" s="67"/>
      <c r="G972" s="67"/>
      <c r="H972" s="67"/>
      <c r="I972" s="67"/>
      <c r="J972" s="67"/>
      <c r="K972" s="68"/>
      <c r="L972" s="69"/>
      <c r="M972" s="70"/>
      <c r="N972" s="71"/>
      <c r="O972" s="85"/>
    </row>
    <row r="973" spans="1:15" ht="30" customHeight="1">
      <c r="A973" s="76"/>
      <c r="B973" s="65"/>
      <c r="C973" s="65"/>
      <c r="D973" s="65"/>
      <c r="E973" s="71"/>
      <c r="F973" s="67"/>
      <c r="G973" s="67"/>
      <c r="H973" s="67"/>
      <c r="I973" s="67"/>
      <c r="J973" s="67"/>
      <c r="K973" s="68"/>
      <c r="L973" s="69"/>
      <c r="M973" s="70"/>
      <c r="N973" s="71"/>
      <c r="O973" s="85"/>
    </row>
    <row r="974" spans="1:15" ht="30" customHeight="1">
      <c r="A974" s="76"/>
      <c r="B974" s="65"/>
      <c r="C974" s="65"/>
      <c r="D974" s="65"/>
      <c r="E974" s="71"/>
      <c r="F974" s="67"/>
      <c r="G974" s="67"/>
      <c r="H974" s="67"/>
      <c r="I974" s="67"/>
      <c r="J974" s="67"/>
      <c r="K974" s="68"/>
      <c r="L974" s="69"/>
      <c r="M974" s="70"/>
      <c r="N974" s="71"/>
      <c r="O974" s="85"/>
    </row>
    <row r="975" spans="1:15" ht="30" customHeight="1">
      <c r="A975" s="76"/>
      <c r="B975" s="65"/>
      <c r="C975" s="65"/>
      <c r="D975" s="65"/>
      <c r="E975" s="71"/>
      <c r="F975" s="67"/>
      <c r="G975" s="67"/>
      <c r="H975" s="67"/>
      <c r="I975" s="67"/>
      <c r="J975" s="67"/>
      <c r="K975" s="68"/>
      <c r="L975" s="69"/>
      <c r="M975" s="70"/>
      <c r="N975" s="71"/>
      <c r="O975" s="85"/>
    </row>
    <row r="976" spans="1:15" ht="30" customHeight="1">
      <c r="A976" s="76"/>
      <c r="B976" s="65"/>
      <c r="C976" s="65"/>
      <c r="D976" s="65"/>
      <c r="E976" s="71"/>
      <c r="F976" s="67"/>
      <c r="G976" s="67"/>
      <c r="H976" s="67"/>
      <c r="I976" s="67"/>
      <c r="J976" s="67"/>
      <c r="K976" s="68"/>
      <c r="L976" s="69"/>
      <c r="M976" s="70"/>
      <c r="N976" s="71"/>
      <c r="O976" s="85"/>
    </row>
    <row r="977" spans="1:15" ht="30" customHeight="1">
      <c r="A977" s="76"/>
      <c r="B977" s="65"/>
      <c r="C977" s="65"/>
      <c r="D977" s="65"/>
      <c r="E977" s="71"/>
      <c r="F977" s="67"/>
      <c r="G977" s="67"/>
      <c r="H977" s="67"/>
      <c r="I977" s="67"/>
      <c r="J977" s="67"/>
      <c r="K977" s="68"/>
      <c r="L977" s="69"/>
      <c r="M977" s="70"/>
      <c r="N977" s="71"/>
      <c r="O977" s="85"/>
    </row>
    <row r="978" spans="1:15" ht="30" customHeight="1">
      <c r="A978" s="76"/>
      <c r="B978" s="65"/>
      <c r="C978" s="65"/>
      <c r="D978" s="65"/>
      <c r="E978" s="71"/>
      <c r="F978" s="67"/>
      <c r="G978" s="67"/>
      <c r="H978" s="67"/>
      <c r="I978" s="67"/>
      <c r="J978" s="67"/>
      <c r="K978" s="68"/>
      <c r="L978" s="69"/>
      <c r="M978" s="70"/>
      <c r="N978" s="71"/>
      <c r="O978" s="85"/>
    </row>
    <row r="979" spans="1:15" ht="30" customHeight="1">
      <c r="A979" s="76"/>
      <c r="B979" s="65"/>
      <c r="C979" s="65"/>
      <c r="D979" s="65"/>
      <c r="E979" s="71"/>
      <c r="F979" s="67"/>
      <c r="G979" s="67"/>
      <c r="H979" s="67"/>
      <c r="I979" s="67"/>
      <c r="J979" s="67"/>
      <c r="K979" s="68"/>
      <c r="L979" s="69"/>
      <c r="M979" s="70"/>
      <c r="N979" s="71"/>
      <c r="O979" s="85"/>
    </row>
    <row r="980" spans="1:15" ht="30" customHeight="1">
      <c r="A980" s="76"/>
      <c r="B980" s="65"/>
      <c r="C980" s="65"/>
      <c r="D980" s="65"/>
      <c r="E980" s="71"/>
      <c r="F980" s="67"/>
      <c r="G980" s="67"/>
      <c r="H980" s="67"/>
      <c r="I980" s="67"/>
      <c r="J980" s="67"/>
      <c r="K980" s="68"/>
      <c r="L980" s="69"/>
      <c r="M980" s="70"/>
      <c r="N980" s="71"/>
      <c r="O980" s="85"/>
    </row>
    <row r="981" spans="1:15" ht="30" customHeight="1">
      <c r="A981" s="76"/>
      <c r="B981" s="65"/>
      <c r="C981" s="65"/>
      <c r="D981" s="65"/>
      <c r="E981" s="71"/>
      <c r="F981" s="67"/>
      <c r="G981" s="67"/>
      <c r="H981" s="67"/>
      <c r="I981" s="67"/>
      <c r="J981" s="67"/>
      <c r="K981" s="68"/>
      <c r="L981" s="69"/>
      <c r="M981" s="70"/>
      <c r="N981" s="71"/>
      <c r="O981" s="85"/>
    </row>
    <row r="982" spans="1:15" ht="30" customHeight="1">
      <c r="A982" s="76"/>
      <c r="B982" s="65"/>
      <c r="C982" s="65"/>
      <c r="D982" s="65"/>
      <c r="E982" s="71"/>
      <c r="F982" s="67"/>
      <c r="G982" s="67"/>
      <c r="H982" s="67"/>
      <c r="I982" s="67"/>
      <c r="J982" s="67"/>
      <c r="K982" s="68"/>
      <c r="L982" s="69"/>
      <c r="M982" s="70"/>
      <c r="N982" s="71"/>
      <c r="O982" s="85"/>
    </row>
    <row r="983" spans="1:15" ht="30" customHeight="1">
      <c r="A983" s="76"/>
      <c r="B983" s="65"/>
      <c r="C983" s="65"/>
      <c r="D983" s="65"/>
      <c r="E983" s="71"/>
      <c r="F983" s="67"/>
      <c r="G983" s="67"/>
      <c r="H983" s="67"/>
      <c r="I983" s="67"/>
      <c r="J983" s="67"/>
      <c r="K983" s="68"/>
      <c r="L983" s="69"/>
      <c r="M983" s="70"/>
      <c r="N983" s="71"/>
      <c r="O983" s="85"/>
    </row>
    <row r="984" spans="1:15" ht="30" customHeight="1">
      <c r="A984" s="76"/>
      <c r="B984" s="65"/>
      <c r="C984" s="65"/>
      <c r="D984" s="65"/>
      <c r="E984" s="71"/>
      <c r="F984" s="67"/>
      <c r="G984" s="67"/>
      <c r="H984" s="67"/>
      <c r="I984" s="67"/>
      <c r="J984" s="67"/>
      <c r="K984" s="68"/>
      <c r="L984" s="69"/>
      <c r="M984" s="70"/>
      <c r="N984" s="71"/>
      <c r="O984" s="85"/>
    </row>
    <row r="985" spans="1:15" ht="30" customHeight="1">
      <c r="A985" s="76"/>
      <c r="B985" s="65"/>
      <c r="C985" s="65"/>
      <c r="D985" s="65"/>
      <c r="E985" s="71"/>
      <c r="F985" s="67"/>
      <c r="G985" s="67"/>
      <c r="H985" s="67"/>
      <c r="I985" s="67"/>
      <c r="J985" s="67"/>
      <c r="K985" s="68"/>
      <c r="L985" s="69"/>
      <c r="M985" s="70"/>
      <c r="N985" s="71"/>
      <c r="O985" s="85"/>
    </row>
    <row r="986" spans="1:15" ht="30" customHeight="1">
      <c r="A986" s="76"/>
      <c r="B986" s="65"/>
      <c r="C986" s="65"/>
      <c r="D986" s="65"/>
      <c r="E986" s="71"/>
      <c r="F986" s="67"/>
      <c r="G986" s="67"/>
      <c r="H986" s="67"/>
      <c r="I986" s="67"/>
      <c r="J986" s="67"/>
      <c r="K986" s="68"/>
      <c r="L986" s="69"/>
      <c r="M986" s="70"/>
      <c r="N986" s="71"/>
      <c r="O986" s="85"/>
    </row>
    <row r="987" spans="1:15" ht="30" customHeight="1">
      <c r="A987" s="76"/>
      <c r="B987" s="65"/>
      <c r="C987" s="65"/>
      <c r="D987" s="65"/>
      <c r="E987" s="71"/>
      <c r="F987" s="67"/>
      <c r="G987" s="67"/>
      <c r="H987" s="67"/>
      <c r="I987" s="67"/>
      <c r="J987" s="67"/>
      <c r="K987" s="68"/>
      <c r="L987" s="69"/>
      <c r="M987" s="70"/>
      <c r="N987" s="71"/>
      <c r="O987" s="85"/>
    </row>
    <row r="988" spans="1:15" ht="30" customHeight="1">
      <c r="A988" s="76"/>
      <c r="B988" s="65"/>
      <c r="C988" s="65"/>
      <c r="D988" s="65"/>
      <c r="E988" s="71"/>
      <c r="F988" s="67"/>
      <c r="G988" s="67"/>
      <c r="H988" s="67"/>
      <c r="I988" s="67"/>
      <c r="J988" s="67"/>
      <c r="K988" s="68"/>
      <c r="L988" s="69"/>
      <c r="M988" s="70"/>
      <c r="N988" s="71"/>
      <c r="O988" s="85"/>
    </row>
    <row r="989" spans="1:15" ht="30" customHeight="1">
      <c r="A989" s="76"/>
      <c r="B989" s="65"/>
      <c r="C989" s="65"/>
      <c r="D989" s="65"/>
      <c r="E989" s="71"/>
      <c r="F989" s="67"/>
      <c r="G989" s="67"/>
      <c r="H989" s="67"/>
      <c r="I989" s="67"/>
      <c r="J989" s="67"/>
      <c r="K989" s="68"/>
      <c r="L989" s="69"/>
      <c r="M989" s="70"/>
      <c r="N989" s="71"/>
      <c r="O989" s="85"/>
    </row>
    <row r="990" spans="1:15" ht="30" customHeight="1">
      <c r="A990" s="76"/>
      <c r="B990" s="65"/>
      <c r="C990" s="65"/>
      <c r="D990" s="65"/>
      <c r="E990" s="71"/>
      <c r="F990" s="67"/>
      <c r="G990" s="67"/>
      <c r="H990" s="67"/>
      <c r="I990" s="67"/>
      <c r="J990" s="67"/>
      <c r="K990" s="68"/>
      <c r="L990" s="69"/>
      <c r="M990" s="70"/>
      <c r="N990" s="71"/>
      <c r="O990" s="85"/>
    </row>
    <row r="991" spans="1:15" ht="30" customHeight="1">
      <c r="A991" s="76"/>
      <c r="B991" s="65"/>
      <c r="C991" s="65"/>
      <c r="D991" s="65"/>
      <c r="E991" s="71"/>
      <c r="F991" s="67"/>
      <c r="G991" s="67"/>
      <c r="H991" s="67"/>
      <c r="I991" s="67"/>
      <c r="J991" s="67"/>
      <c r="K991" s="68"/>
      <c r="L991" s="69"/>
      <c r="M991" s="70"/>
      <c r="N991" s="71"/>
      <c r="O991" s="85"/>
    </row>
    <row r="992" spans="1:15" ht="30" customHeight="1">
      <c r="A992" s="76"/>
      <c r="B992" s="65"/>
      <c r="C992" s="65"/>
      <c r="D992" s="65"/>
      <c r="E992" s="71"/>
      <c r="F992" s="67"/>
      <c r="G992" s="67"/>
      <c r="H992" s="67"/>
      <c r="I992" s="67"/>
      <c r="J992" s="67"/>
      <c r="K992" s="68"/>
      <c r="L992" s="69"/>
      <c r="M992" s="70"/>
      <c r="N992" s="71"/>
      <c r="O992" s="85"/>
    </row>
    <row r="993" spans="1:15" ht="30" customHeight="1">
      <c r="A993" s="76"/>
      <c r="B993" s="65"/>
      <c r="C993" s="65"/>
      <c r="D993" s="65"/>
      <c r="E993" s="71"/>
      <c r="F993" s="67"/>
      <c r="G993" s="67"/>
      <c r="H993" s="67"/>
      <c r="I993" s="67"/>
      <c r="J993" s="67"/>
      <c r="K993" s="68"/>
      <c r="L993" s="69"/>
      <c r="M993" s="70"/>
      <c r="N993" s="71"/>
      <c r="O993" s="85"/>
    </row>
    <row r="994" spans="1:15" ht="30" customHeight="1">
      <c r="A994" s="76"/>
      <c r="B994" s="65"/>
      <c r="C994" s="65"/>
      <c r="D994" s="65"/>
      <c r="E994" s="71"/>
      <c r="F994" s="67"/>
      <c r="G994" s="67"/>
      <c r="H994" s="67"/>
      <c r="I994" s="67"/>
      <c r="J994" s="67"/>
      <c r="K994" s="68"/>
      <c r="L994" s="69"/>
      <c r="M994" s="70"/>
      <c r="N994" s="71"/>
      <c r="O994" s="85"/>
    </row>
    <row r="995" spans="1:15" ht="30" customHeight="1">
      <c r="A995" s="76"/>
      <c r="B995" s="65"/>
      <c r="C995" s="65"/>
      <c r="D995" s="65"/>
      <c r="E995" s="71"/>
      <c r="F995" s="67"/>
      <c r="G995" s="67"/>
      <c r="H995" s="67"/>
      <c r="I995" s="67"/>
      <c r="J995" s="67"/>
      <c r="K995" s="68"/>
      <c r="L995" s="69"/>
      <c r="M995" s="70"/>
      <c r="N995" s="71"/>
      <c r="O995" s="85"/>
    </row>
    <row r="996" spans="1:15" ht="30" customHeight="1">
      <c r="A996" s="76"/>
      <c r="B996" s="65"/>
      <c r="C996" s="65"/>
      <c r="D996" s="65"/>
      <c r="E996" s="71"/>
      <c r="F996" s="67"/>
      <c r="G996" s="67"/>
      <c r="H996" s="67"/>
      <c r="I996" s="67"/>
      <c r="J996" s="67"/>
      <c r="K996" s="68"/>
      <c r="L996" s="69"/>
      <c r="M996" s="70"/>
      <c r="N996" s="71"/>
      <c r="O996" s="85"/>
    </row>
    <row r="997" spans="1:15" ht="30" customHeight="1">
      <c r="A997" s="76"/>
      <c r="B997" s="65"/>
      <c r="C997" s="65"/>
      <c r="D997" s="65"/>
      <c r="E997" s="71"/>
      <c r="F997" s="67"/>
      <c r="G997" s="67"/>
      <c r="H997" s="67"/>
      <c r="I997" s="67"/>
      <c r="J997" s="67"/>
      <c r="K997" s="68"/>
      <c r="L997" s="69"/>
      <c r="M997" s="70"/>
      <c r="N997" s="71"/>
      <c r="O997" s="85"/>
    </row>
    <row r="998" spans="1:15" ht="30" customHeight="1">
      <c r="A998" s="76"/>
      <c r="B998" s="65"/>
      <c r="C998" s="65"/>
      <c r="D998" s="65"/>
      <c r="E998" s="71"/>
      <c r="F998" s="67"/>
      <c r="G998" s="67"/>
      <c r="H998" s="67"/>
      <c r="I998" s="67"/>
      <c r="J998" s="67"/>
      <c r="K998" s="68"/>
      <c r="L998" s="69"/>
      <c r="M998" s="70"/>
      <c r="N998" s="71"/>
      <c r="O998" s="85"/>
    </row>
    <row r="999" spans="1:15" ht="30" customHeight="1">
      <c r="A999" s="76"/>
      <c r="B999" s="65"/>
      <c r="C999" s="65"/>
      <c r="D999" s="65"/>
      <c r="E999" s="71"/>
      <c r="F999" s="67"/>
      <c r="G999" s="67"/>
      <c r="H999" s="67"/>
      <c r="I999" s="67"/>
      <c r="J999" s="67"/>
      <c r="K999" s="68"/>
      <c r="L999" s="69"/>
      <c r="M999" s="70"/>
      <c r="N999" s="71"/>
      <c r="O999" s="85"/>
    </row>
    <row r="1000" spans="1:15" ht="30" customHeight="1">
      <c r="A1000" s="76"/>
      <c r="B1000" s="65"/>
      <c r="C1000" s="65"/>
      <c r="D1000" s="65"/>
      <c r="E1000" s="71"/>
      <c r="F1000" s="67"/>
      <c r="G1000" s="67"/>
      <c r="H1000" s="67"/>
      <c r="I1000" s="67"/>
      <c r="J1000" s="67"/>
      <c r="K1000" s="68"/>
      <c r="L1000" s="69"/>
      <c r="M1000" s="70"/>
      <c r="N1000" s="71"/>
      <c r="O1000" s="85"/>
    </row>
    <row r="1001" spans="1:15" ht="30" customHeight="1">
      <c r="A1001" s="76"/>
      <c r="B1001" s="65"/>
      <c r="C1001" s="65"/>
      <c r="D1001" s="65"/>
      <c r="E1001" s="71"/>
      <c r="F1001" s="67"/>
      <c r="G1001" s="67"/>
      <c r="H1001" s="67"/>
      <c r="I1001" s="67"/>
      <c r="J1001" s="67"/>
      <c r="K1001" s="68"/>
      <c r="L1001" s="69"/>
      <c r="M1001" s="70"/>
      <c r="N1001" s="71"/>
      <c r="O1001" s="85"/>
    </row>
    <row r="1002" spans="1:15" ht="30" customHeight="1">
      <c r="A1002" s="76"/>
      <c r="B1002" s="65"/>
      <c r="C1002" s="65"/>
      <c r="D1002" s="65"/>
      <c r="E1002" s="71"/>
      <c r="F1002" s="67"/>
      <c r="G1002" s="67"/>
      <c r="H1002" s="67"/>
      <c r="I1002" s="67"/>
      <c r="J1002" s="67"/>
      <c r="K1002" s="68"/>
      <c r="L1002" s="69"/>
      <c r="M1002" s="70"/>
      <c r="N1002" s="71"/>
      <c r="O1002" s="85"/>
    </row>
    <row r="1003" spans="1:15" ht="30" customHeight="1">
      <c r="A1003" s="76"/>
      <c r="B1003" s="65"/>
      <c r="C1003" s="65"/>
      <c r="D1003" s="65"/>
      <c r="E1003" s="71"/>
      <c r="F1003" s="67"/>
      <c r="G1003" s="67"/>
      <c r="H1003" s="67"/>
      <c r="I1003" s="67"/>
      <c r="J1003" s="67"/>
      <c r="K1003" s="68"/>
      <c r="L1003" s="69"/>
      <c r="M1003" s="70"/>
      <c r="N1003" s="71"/>
      <c r="O1003" s="85"/>
    </row>
    <row r="1004" spans="1:15" ht="30" customHeight="1">
      <c r="A1004" s="76"/>
      <c r="B1004" s="65"/>
      <c r="C1004" s="65"/>
      <c r="D1004" s="65"/>
      <c r="E1004" s="71"/>
      <c r="F1004" s="67"/>
      <c r="G1004" s="67"/>
      <c r="H1004" s="67"/>
      <c r="I1004" s="67"/>
      <c r="J1004" s="67"/>
      <c r="K1004" s="68"/>
      <c r="L1004" s="69"/>
      <c r="M1004" s="70"/>
      <c r="N1004" s="71"/>
      <c r="O1004" s="85"/>
    </row>
    <row r="1005" spans="1:15" ht="30" customHeight="1">
      <c r="A1005" s="76"/>
      <c r="B1005" s="65"/>
      <c r="C1005" s="65"/>
      <c r="D1005" s="65"/>
      <c r="E1005" s="71"/>
      <c r="F1005" s="67"/>
      <c r="G1005" s="67"/>
      <c r="H1005" s="67"/>
      <c r="I1005" s="67"/>
      <c r="J1005" s="67"/>
      <c r="K1005" s="68"/>
      <c r="L1005" s="69"/>
      <c r="M1005" s="70"/>
      <c r="N1005" s="71"/>
      <c r="O1005" s="85"/>
    </row>
    <row r="1006" spans="1:15" ht="30" customHeight="1">
      <c r="A1006" s="76"/>
      <c r="B1006" s="65"/>
      <c r="C1006" s="65"/>
      <c r="D1006" s="65"/>
      <c r="E1006" s="71"/>
      <c r="F1006" s="67"/>
      <c r="G1006" s="67"/>
      <c r="H1006" s="67"/>
      <c r="I1006" s="67"/>
      <c r="J1006" s="67"/>
      <c r="K1006" s="68"/>
      <c r="L1006" s="69"/>
      <c r="M1006" s="70"/>
      <c r="N1006" s="71"/>
      <c r="O1006" s="85"/>
    </row>
    <row r="1007" spans="1:15" ht="30" customHeight="1">
      <c r="A1007" s="76"/>
      <c r="B1007" s="65"/>
      <c r="C1007" s="65"/>
      <c r="D1007" s="65"/>
      <c r="E1007" s="71"/>
      <c r="F1007" s="67"/>
      <c r="G1007" s="67"/>
      <c r="H1007" s="67"/>
      <c r="I1007" s="67"/>
      <c r="J1007" s="67"/>
      <c r="K1007" s="68"/>
      <c r="L1007" s="69"/>
      <c r="M1007" s="70"/>
      <c r="N1007" s="71"/>
      <c r="O1007" s="85"/>
    </row>
    <row r="1008" spans="1:15" ht="30" customHeight="1">
      <c r="A1008" s="76"/>
      <c r="B1008" s="65"/>
      <c r="C1008" s="65"/>
      <c r="D1008" s="65"/>
      <c r="E1008" s="71"/>
      <c r="F1008" s="67"/>
      <c r="G1008" s="67"/>
      <c r="H1008" s="67"/>
      <c r="I1008" s="67"/>
      <c r="J1008" s="67"/>
      <c r="K1008" s="68"/>
      <c r="L1008" s="69"/>
      <c r="M1008" s="70"/>
      <c r="N1008" s="71"/>
      <c r="O1008" s="85"/>
    </row>
    <row r="1009" spans="1:15" ht="30" customHeight="1">
      <c r="A1009" s="76"/>
      <c r="B1009" s="65"/>
      <c r="C1009" s="65"/>
      <c r="D1009" s="65"/>
      <c r="E1009" s="71"/>
      <c r="F1009" s="67"/>
      <c r="G1009" s="67"/>
      <c r="H1009" s="67"/>
      <c r="I1009" s="67"/>
      <c r="J1009" s="67"/>
      <c r="K1009" s="68"/>
      <c r="L1009" s="69"/>
      <c r="M1009" s="70"/>
      <c r="N1009" s="71"/>
      <c r="O1009" s="85"/>
    </row>
    <row r="1010" spans="1:15" ht="30" customHeight="1">
      <c r="A1010" s="76"/>
      <c r="B1010" s="65"/>
      <c r="C1010" s="65"/>
      <c r="D1010" s="65"/>
      <c r="E1010" s="71"/>
      <c r="F1010" s="67"/>
      <c r="G1010" s="67"/>
      <c r="H1010" s="67"/>
      <c r="I1010" s="67"/>
      <c r="J1010" s="67"/>
      <c r="K1010" s="68"/>
      <c r="L1010" s="69"/>
      <c r="M1010" s="70"/>
      <c r="N1010" s="71"/>
      <c r="O1010" s="85"/>
    </row>
    <row r="1011" spans="1:15" ht="30" customHeight="1">
      <c r="L1011" s="101"/>
    </row>
    <row r="1012" spans="1:15" ht="30" customHeight="1">
      <c r="A1012" s="62"/>
      <c r="B1012" s="62"/>
      <c r="C1012" s="62"/>
      <c r="D1012" s="62"/>
      <c r="E1012" s="62"/>
      <c r="F1012" s="62"/>
      <c r="G1012" s="62"/>
      <c r="H1012" s="62"/>
      <c r="I1012" s="62"/>
      <c r="J1012" s="62"/>
      <c r="K1012" s="62"/>
      <c r="L1012" s="101"/>
      <c r="M1012" s="62"/>
      <c r="N1012" s="62"/>
      <c r="O1012" s="62"/>
    </row>
    <row r="1013" spans="1:15" ht="30" customHeight="1">
      <c r="L1013" s="101"/>
    </row>
    <row r="1014" spans="1:15" ht="30" customHeight="1">
      <c r="L1014" s="101"/>
    </row>
    <row r="1015" spans="1:15" ht="30" customHeight="1">
      <c r="L1015" s="101"/>
    </row>
    <row r="1016" spans="1:15" ht="30" customHeight="1">
      <c r="L1016" s="101"/>
    </row>
    <row r="1017" spans="1:15" ht="30" customHeight="1">
      <c r="L1017" s="101"/>
    </row>
    <row r="1018" spans="1:15" ht="30" customHeight="1">
      <c r="L1018" s="101"/>
    </row>
    <row r="1019" spans="1:15" ht="30" customHeight="1">
      <c r="L1019" s="101"/>
    </row>
    <row r="1020" spans="1:15" ht="30" customHeight="1">
      <c r="L1020" s="101"/>
    </row>
    <row r="1021" spans="1:15" ht="30" customHeight="1">
      <c r="L1021" s="101"/>
    </row>
    <row r="1022" spans="1:15" ht="30" customHeight="1">
      <c r="L1022" s="101"/>
    </row>
    <row r="1023" spans="1:15" ht="30" customHeight="1">
      <c r="L1023" s="101"/>
    </row>
    <row r="1024" spans="1:15" ht="30" customHeight="1">
      <c r="L1024" s="101"/>
    </row>
    <row r="1025" spans="12:12" ht="30" customHeight="1">
      <c r="L1025" s="101"/>
    </row>
    <row r="1026" spans="12:12" ht="30" customHeight="1">
      <c r="L1026" s="101"/>
    </row>
    <row r="1027" spans="12:12" ht="30" customHeight="1">
      <c r="L1027" s="101"/>
    </row>
    <row r="1028" spans="12:12" ht="30" customHeight="1">
      <c r="L1028" s="101"/>
    </row>
    <row r="1029" spans="12:12" ht="30" customHeight="1">
      <c r="L1029" s="101"/>
    </row>
    <row r="1030" spans="12:12" ht="30" customHeight="1">
      <c r="L1030" s="101"/>
    </row>
    <row r="1031" spans="12:12" ht="30" customHeight="1">
      <c r="L1031" s="101"/>
    </row>
    <row r="1032" spans="12:12" ht="30" customHeight="1">
      <c r="L1032" s="101"/>
    </row>
    <row r="1033" spans="12:12" ht="30" customHeight="1">
      <c r="L1033" s="101"/>
    </row>
    <row r="1034" spans="12:12" ht="30" customHeight="1">
      <c r="L1034" s="101"/>
    </row>
    <row r="1035" spans="12:12" ht="30" customHeight="1">
      <c r="L1035" s="101"/>
    </row>
    <row r="1036" spans="12:12" ht="30" customHeight="1">
      <c r="L1036" s="101"/>
    </row>
    <row r="1037" spans="12:12" ht="30" customHeight="1">
      <c r="L1037" s="101"/>
    </row>
    <row r="1038" spans="12:12" ht="30" customHeight="1">
      <c r="L1038" s="101"/>
    </row>
    <row r="1039" spans="12:12" ht="30" customHeight="1">
      <c r="L1039" s="101"/>
    </row>
    <row r="1040" spans="12:12" ht="30" customHeight="1">
      <c r="L1040" s="101"/>
    </row>
    <row r="1041" spans="12:12" ht="30" customHeight="1">
      <c r="L1041" s="101"/>
    </row>
    <row r="1042" spans="12:12" ht="30" customHeight="1">
      <c r="L1042" s="101"/>
    </row>
    <row r="1043" spans="12:12" ht="30" customHeight="1">
      <c r="L1043" s="101"/>
    </row>
    <row r="1044" spans="12:12" ht="30" customHeight="1">
      <c r="L1044" s="101"/>
    </row>
    <row r="1045" spans="12:12" ht="30" customHeight="1">
      <c r="L1045" s="101"/>
    </row>
    <row r="1046" spans="12:12" ht="30" customHeight="1">
      <c r="L1046" s="101"/>
    </row>
    <row r="1047" spans="12:12" ht="30" customHeight="1">
      <c r="L1047" s="101"/>
    </row>
    <row r="1048" spans="12:12" ht="30" customHeight="1">
      <c r="L1048" s="101"/>
    </row>
    <row r="1049" spans="12:12" ht="30" customHeight="1">
      <c r="L1049" s="101"/>
    </row>
    <row r="1050" spans="12:12" ht="30" customHeight="1">
      <c r="L1050" s="101"/>
    </row>
    <row r="1051" spans="12:12" ht="30" customHeight="1">
      <c r="L1051" s="101"/>
    </row>
    <row r="1052" spans="12:12" ht="30" customHeight="1">
      <c r="L1052" s="101"/>
    </row>
    <row r="1053" spans="12:12" ht="30" customHeight="1">
      <c r="L1053" s="101"/>
    </row>
    <row r="1054" spans="12:12" ht="30" customHeight="1">
      <c r="L1054" s="101"/>
    </row>
    <row r="1055" spans="12:12" ht="30" customHeight="1">
      <c r="L1055" s="101"/>
    </row>
    <row r="1056" spans="12:12" ht="30" customHeight="1">
      <c r="L1056" s="101"/>
    </row>
    <row r="1057" spans="12:12" ht="30" customHeight="1">
      <c r="L1057" s="101"/>
    </row>
    <row r="1058" spans="12:12" ht="30" customHeight="1">
      <c r="L1058" s="101"/>
    </row>
    <row r="1059" spans="12:12" ht="30" customHeight="1">
      <c r="L1059" s="101"/>
    </row>
    <row r="1060" spans="12:12" ht="30" customHeight="1">
      <c r="L1060" s="101"/>
    </row>
    <row r="1061" spans="12:12" ht="30" customHeight="1">
      <c r="L1061" s="101"/>
    </row>
    <row r="1062" spans="12:12" ht="30" customHeight="1">
      <c r="L1062" s="101"/>
    </row>
    <row r="1063" spans="12:12" ht="30" customHeight="1">
      <c r="L1063" s="101"/>
    </row>
    <row r="1064" spans="12:12" ht="30" customHeight="1">
      <c r="L1064" s="101"/>
    </row>
    <row r="1065" spans="12:12" ht="30" customHeight="1">
      <c r="L1065" s="101"/>
    </row>
    <row r="1066" spans="12:12" ht="30" customHeight="1">
      <c r="L1066" s="101"/>
    </row>
    <row r="1067" spans="12:12" ht="30" customHeight="1">
      <c r="L1067" s="101"/>
    </row>
    <row r="1068" spans="12:12" ht="30" customHeight="1">
      <c r="L1068" s="101"/>
    </row>
    <row r="1069" spans="12:12" ht="30" customHeight="1">
      <c r="L1069" s="101"/>
    </row>
    <row r="1070" spans="12:12" ht="30" customHeight="1">
      <c r="L1070" s="101"/>
    </row>
    <row r="1071" spans="12:12" ht="30" customHeight="1">
      <c r="L1071" s="101"/>
    </row>
    <row r="1072" spans="12:12" ht="30" customHeight="1">
      <c r="L1072" s="101"/>
    </row>
    <row r="1073" spans="12:12" ht="30" customHeight="1">
      <c r="L1073" s="101"/>
    </row>
    <row r="1074" spans="12:12" ht="30" customHeight="1">
      <c r="L1074" s="101"/>
    </row>
    <row r="1075" spans="12:12" ht="30" customHeight="1">
      <c r="L1075" s="101"/>
    </row>
    <row r="1076" spans="12:12" ht="30" customHeight="1">
      <c r="L1076" s="101"/>
    </row>
    <row r="1077" spans="12:12" ht="30" customHeight="1">
      <c r="L1077" s="101"/>
    </row>
    <row r="1078" spans="12:12" ht="30" customHeight="1">
      <c r="L1078" s="101"/>
    </row>
    <row r="1079" spans="12:12" ht="30" customHeight="1">
      <c r="L1079" s="101"/>
    </row>
    <row r="1080" spans="12:12" ht="30" customHeight="1">
      <c r="L1080" s="101"/>
    </row>
    <row r="1081" spans="12:12" ht="30" customHeight="1">
      <c r="L1081" s="101"/>
    </row>
    <row r="1082" spans="12:12" ht="30" customHeight="1">
      <c r="L1082" s="101"/>
    </row>
    <row r="1083" spans="12:12" ht="30" customHeight="1">
      <c r="L1083" s="101"/>
    </row>
    <row r="1084" spans="12:12" ht="30" customHeight="1">
      <c r="L1084" s="101"/>
    </row>
    <row r="1085" spans="12:12" ht="30" customHeight="1">
      <c r="L1085" s="101"/>
    </row>
    <row r="1086" spans="12:12" ht="30" customHeight="1">
      <c r="L1086" s="101"/>
    </row>
    <row r="1087" spans="12:12" ht="30" customHeight="1">
      <c r="L1087" s="101"/>
    </row>
    <row r="1088" spans="12:12" ht="30" customHeight="1">
      <c r="L1088" s="101"/>
    </row>
    <row r="1089" spans="12:12" ht="30" customHeight="1">
      <c r="L1089" s="101"/>
    </row>
    <row r="1090" spans="12:12" ht="30" customHeight="1">
      <c r="L1090" s="101"/>
    </row>
    <row r="1091" spans="12:12" ht="30" customHeight="1">
      <c r="L1091" s="101"/>
    </row>
    <row r="1092" spans="12:12" ht="30" customHeight="1">
      <c r="L1092" s="101"/>
    </row>
    <row r="1093" spans="12:12" ht="30" customHeight="1">
      <c r="L1093" s="101"/>
    </row>
    <row r="1094" spans="12:12" ht="30" customHeight="1">
      <c r="L1094" s="101"/>
    </row>
    <row r="1095" spans="12:12" ht="30" customHeight="1">
      <c r="L1095" s="101"/>
    </row>
    <row r="1096" spans="12:12" ht="30" customHeight="1">
      <c r="L1096" s="101"/>
    </row>
    <row r="1097" spans="12:12" ht="30" customHeight="1">
      <c r="L1097" s="101"/>
    </row>
    <row r="1098" spans="12:12" ht="30" customHeight="1">
      <c r="L1098" s="101"/>
    </row>
    <row r="1099" spans="12:12" ht="30" customHeight="1">
      <c r="L1099" s="101"/>
    </row>
    <row r="1100" spans="12:12" ht="30" customHeight="1">
      <c r="L1100" s="101"/>
    </row>
    <row r="1101" spans="12:12" ht="30" customHeight="1">
      <c r="L1101" s="101"/>
    </row>
    <row r="1102" spans="12:12" ht="30" customHeight="1">
      <c r="L1102" s="101"/>
    </row>
    <row r="1103" spans="12:12" ht="30" customHeight="1">
      <c r="L1103" s="101"/>
    </row>
    <row r="1104" spans="12:12" ht="30" customHeight="1">
      <c r="L1104" s="101"/>
    </row>
    <row r="1105" spans="12:12" ht="30" customHeight="1">
      <c r="L1105" s="101"/>
    </row>
    <row r="1106" spans="12:12" ht="30" customHeight="1">
      <c r="L1106" s="101"/>
    </row>
    <row r="1107" spans="12:12" ht="30" customHeight="1">
      <c r="L1107" s="101"/>
    </row>
    <row r="1108" spans="12:12" ht="30" customHeight="1">
      <c r="L1108" s="101"/>
    </row>
    <row r="1109" spans="12:12" ht="30" customHeight="1">
      <c r="L1109" s="101"/>
    </row>
    <row r="1110" spans="12:12" ht="30" customHeight="1">
      <c r="L1110" s="101"/>
    </row>
    <row r="1111" spans="12:12" ht="30" customHeight="1">
      <c r="L1111" s="101"/>
    </row>
    <row r="1112" spans="12:12" ht="30" customHeight="1">
      <c r="L1112" s="101"/>
    </row>
    <row r="1113" spans="12:12" ht="30" customHeight="1">
      <c r="L1113" s="101"/>
    </row>
    <row r="1114" spans="12:12" ht="30" customHeight="1">
      <c r="L1114" s="101"/>
    </row>
    <row r="1115" spans="12:12" ht="30" customHeight="1">
      <c r="L1115" s="101"/>
    </row>
    <row r="1116" spans="12:12" ht="30" customHeight="1">
      <c r="L1116" s="101"/>
    </row>
    <row r="1117" spans="12:12" ht="30" customHeight="1">
      <c r="L1117" s="101"/>
    </row>
    <row r="1118" spans="12:12" ht="30" customHeight="1">
      <c r="L1118" s="101"/>
    </row>
    <row r="1119" spans="12:12" ht="30" customHeight="1">
      <c r="L1119" s="101"/>
    </row>
    <row r="1120" spans="12:12" ht="30" customHeight="1">
      <c r="L1120" s="101"/>
    </row>
    <row r="1121" spans="12:12" ht="30" customHeight="1">
      <c r="L1121" s="101"/>
    </row>
    <row r="1122" spans="12:12" ht="30" customHeight="1">
      <c r="L1122" s="101"/>
    </row>
    <row r="1123" spans="12:12" ht="30" customHeight="1">
      <c r="L1123" s="101"/>
    </row>
    <row r="1124" spans="12:12" ht="30" customHeight="1">
      <c r="L1124" s="101"/>
    </row>
    <row r="1125" spans="12:12" ht="30" customHeight="1">
      <c r="L1125" s="101"/>
    </row>
    <row r="1126" spans="12:12" ht="30" customHeight="1">
      <c r="L1126" s="101"/>
    </row>
    <row r="1127" spans="12:12" ht="30" customHeight="1">
      <c r="L1127" s="101"/>
    </row>
    <row r="1128" spans="12:12" ht="30" customHeight="1">
      <c r="L1128" s="101"/>
    </row>
    <row r="1129" spans="12:12" ht="30" customHeight="1">
      <c r="L1129" s="101"/>
    </row>
    <row r="1130" spans="12:12" ht="30" customHeight="1">
      <c r="L1130" s="101"/>
    </row>
    <row r="1131" spans="12:12" ht="30" customHeight="1">
      <c r="L1131" s="101"/>
    </row>
    <row r="1132" spans="12:12" ht="30" customHeight="1">
      <c r="L1132" s="101"/>
    </row>
    <row r="1133" spans="12:12" ht="30" customHeight="1">
      <c r="L1133" s="101"/>
    </row>
    <row r="1134" spans="12:12" ht="30" customHeight="1">
      <c r="L1134" s="101"/>
    </row>
    <row r="1135" spans="12:12" ht="30" customHeight="1">
      <c r="L1135" s="101"/>
    </row>
    <row r="1136" spans="12:12" ht="30" customHeight="1">
      <c r="L1136" s="101"/>
    </row>
    <row r="1137" spans="12:12" ht="30" customHeight="1">
      <c r="L1137" s="101"/>
    </row>
    <row r="1138" spans="12:12" ht="30" customHeight="1">
      <c r="L1138" s="101"/>
    </row>
    <row r="1139" spans="12:12" ht="30" customHeight="1">
      <c r="L1139" s="101"/>
    </row>
    <row r="1140" spans="12:12" ht="30" customHeight="1">
      <c r="L1140" s="101"/>
    </row>
    <row r="1141" spans="12:12" ht="30" customHeight="1">
      <c r="L1141" s="101"/>
    </row>
    <row r="1142" spans="12:12" ht="30" customHeight="1">
      <c r="L1142" s="101"/>
    </row>
    <row r="1143" spans="12:12" ht="30" customHeight="1">
      <c r="L1143" s="101"/>
    </row>
    <row r="1144" spans="12:12" ht="30" customHeight="1">
      <c r="L1144" s="101"/>
    </row>
    <row r="1145" spans="12:12" ht="30" customHeight="1">
      <c r="L1145" s="101"/>
    </row>
    <row r="1146" spans="12:12" ht="30" customHeight="1">
      <c r="L1146" s="101"/>
    </row>
    <row r="1147" spans="12:12" ht="30" customHeight="1">
      <c r="L1147" s="101"/>
    </row>
    <row r="1148" spans="12:12" ht="30" customHeight="1">
      <c r="L1148" s="101"/>
    </row>
    <row r="1149" spans="12:12" ht="30" customHeight="1">
      <c r="L1149" s="101"/>
    </row>
    <row r="1150" spans="12:12" ht="30" customHeight="1">
      <c r="L1150" s="101"/>
    </row>
    <row r="1151" spans="12:12" ht="30" customHeight="1">
      <c r="L1151" s="101"/>
    </row>
    <row r="1152" spans="12:12" ht="30" customHeight="1">
      <c r="L1152" s="101"/>
    </row>
    <row r="1153" spans="12:12" ht="30" customHeight="1">
      <c r="L1153" s="101"/>
    </row>
    <row r="1154" spans="12:12" ht="30" customHeight="1">
      <c r="L1154" s="101"/>
    </row>
    <row r="1155" spans="12:12" ht="30" customHeight="1">
      <c r="L1155" s="101"/>
    </row>
    <row r="1156" spans="12:12" ht="30" customHeight="1">
      <c r="L1156" s="101"/>
    </row>
    <row r="1157" spans="12:12" ht="30" customHeight="1">
      <c r="L1157" s="101"/>
    </row>
    <row r="1158" spans="12:12" ht="30" customHeight="1">
      <c r="L1158" s="101"/>
    </row>
    <row r="1159" spans="12:12" ht="30" customHeight="1">
      <c r="L1159" s="101"/>
    </row>
    <row r="1160" spans="12:12" ht="30" customHeight="1">
      <c r="L1160" s="101"/>
    </row>
    <row r="1161" spans="12:12" ht="30" customHeight="1">
      <c r="L1161" s="101"/>
    </row>
    <row r="1162" spans="12:12" ht="30" customHeight="1">
      <c r="L1162" s="101"/>
    </row>
    <row r="1163" spans="12:12" ht="30" customHeight="1">
      <c r="L1163" s="101"/>
    </row>
    <row r="1164" spans="12:12" ht="30" customHeight="1">
      <c r="L1164" s="101"/>
    </row>
    <row r="1165" spans="12:12" ht="30" customHeight="1">
      <c r="L1165" s="101"/>
    </row>
    <row r="1166" spans="12:12" ht="30" customHeight="1">
      <c r="L1166" s="101"/>
    </row>
    <row r="1167" spans="12:12" ht="30" customHeight="1">
      <c r="L1167" s="101"/>
    </row>
    <row r="1168" spans="12:12" ht="30" customHeight="1">
      <c r="L1168" s="101"/>
    </row>
    <row r="1169" spans="12:12" ht="30" customHeight="1">
      <c r="L1169" s="101"/>
    </row>
    <row r="1170" spans="12:12" ht="30" customHeight="1">
      <c r="L1170" s="101"/>
    </row>
    <row r="1171" spans="12:12" ht="30" customHeight="1">
      <c r="L1171" s="101"/>
    </row>
    <row r="1172" spans="12:12" ht="30" customHeight="1">
      <c r="L1172" s="101"/>
    </row>
    <row r="1173" spans="12:12" ht="30" customHeight="1">
      <c r="L1173" s="101"/>
    </row>
    <row r="1174" spans="12:12" ht="30" customHeight="1">
      <c r="L1174" s="101"/>
    </row>
    <row r="1175" spans="12:12" ht="30" customHeight="1">
      <c r="L1175" s="101"/>
    </row>
    <row r="1176" spans="12:12" ht="30" customHeight="1">
      <c r="L1176" s="101"/>
    </row>
    <row r="1177" spans="12:12" ht="30" customHeight="1">
      <c r="L1177" s="101"/>
    </row>
    <row r="1178" spans="12:12" ht="30" customHeight="1">
      <c r="L1178" s="101"/>
    </row>
    <row r="1179" spans="12:12" ht="30" customHeight="1">
      <c r="L1179" s="101"/>
    </row>
    <row r="1180" spans="12:12" ht="30" customHeight="1">
      <c r="L1180" s="101"/>
    </row>
    <row r="1181" spans="12:12" ht="30" customHeight="1">
      <c r="L1181" s="101"/>
    </row>
    <row r="1182" spans="12:12" ht="30" customHeight="1">
      <c r="L1182" s="101"/>
    </row>
    <row r="1183" spans="12:12" ht="30" customHeight="1">
      <c r="L1183" s="101"/>
    </row>
    <row r="1184" spans="12:12" ht="30" customHeight="1">
      <c r="L1184" s="101"/>
    </row>
    <row r="1185" spans="12:12" ht="30" customHeight="1">
      <c r="L1185" s="101"/>
    </row>
    <row r="1186" spans="12:12" ht="30" customHeight="1">
      <c r="L1186" s="101"/>
    </row>
    <row r="1187" spans="12:12" ht="30" customHeight="1">
      <c r="L1187" s="101"/>
    </row>
    <row r="1188" spans="12:12" ht="30" customHeight="1">
      <c r="L1188" s="101"/>
    </row>
    <row r="1189" spans="12:12" ht="30" customHeight="1">
      <c r="L1189" s="101"/>
    </row>
    <row r="1190" spans="12:12" ht="30" customHeight="1">
      <c r="L1190" s="101"/>
    </row>
    <row r="1191" spans="12:12" ht="30" customHeight="1">
      <c r="L1191" s="101"/>
    </row>
    <row r="1192" spans="12:12" ht="30" customHeight="1">
      <c r="L1192" s="101"/>
    </row>
    <row r="1193" spans="12:12" ht="30" customHeight="1">
      <c r="L1193" s="101"/>
    </row>
    <row r="1194" spans="12:12" ht="30" customHeight="1">
      <c r="L1194" s="101"/>
    </row>
    <row r="1195" spans="12:12" ht="30" customHeight="1">
      <c r="L1195" s="101"/>
    </row>
    <row r="1196" spans="12:12" ht="30" customHeight="1">
      <c r="L1196" s="101"/>
    </row>
    <row r="1197" spans="12:12" ht="30" customHeight="1">
      <c r="L1197" s="101"/>
    </row>
    <row r="1198" spans="12:12" ht="30" customHeight="1">
      <c r="L1198" s="101"/>
    </row>
    <row r="1199" spans="12:12" ht="30" customHeight="1">
      <c r="L1199" s="101"/>
    </row>
    <row r="1200" spans="12:12" ht="30" customHeight="1">
      <c r="L1200" s="101"/>
    </row>
    <row r="1201" spans="12:12" ht="30" customHeight="1">
      <c r="L1201" s="101"/>
    </row>
    <row r="1202" spans="12:12" ht="30" customHeight="1">
      <c r="L1202" s="101"/>
    </row>
    <row r="1203" spans="12:12" ht="30" customHeight="1">
      <c r="L1203" s="101"/>
    </row>
    <row r="1204" spans="12:12" ht="30" customHeight="1">
      <c r="L1204" s="101"/>
    </row>
    <row r="1205" spans="12:12" ht="30" customHeight="1">
      <c r="L1205" s="101"/>
    </row>
    <row r="1206" spans="12:12" ht="30" customHeight="1">
      <c r="L1206" s="101"/>
    </row>
    <row r="1207" spans="12:12" ht="30" customHeight="1">
      <c r="L1207" s="101"/>
    </row>
    <row r="1208" spans="12:12" ht="30" customHeight="1">
      <c r="L1208" s="101"/>
    </row>
    <row r="1209" spans="12:12" ht="30" customHeight="1">
      <c r="L1209" s="101"/>
    </row>
    <row r="1210" spans="12:12" ht="30" customHeight="1">
      <c r="L1210" s="101"/>
    </row>
    <row r="1211" spans="12:12" ht="30" customHeight="1">
      <c r="L1211" s="101"/>
    </row>
    <row r="1212" spans="12:12" ht="30" customHeight="1">
      <c r="L1212" s="101"/>
    </row>
    <row r="1213" spans="12:12" ht="30" customHeight="1">
      <c r="L1213" s="101"/>
    </row>
    <row r="1214" spans="12:12" ht="30" customHeight="1">
      <c r="L1214" s="101"/>
    </row>
    <row r="1215" spans="12:12" ht="30" customHeight="1">
      <c r="L1215" s="101"/>
    </row>
    <row r="1216" spans="12:12" ht="30" customHeight="1">
      <c r="L1216" s="101"/>
    </row>
    <row r="1217" spans="12:12" ht="30" customHeight="1">
      <c r="L1217" s="101"/>
    </row>
    <row r="1218" spans="12:12" ht="30" customHeight="1">
      <c r="L1218" s="101"/>
    </row>
    <row r="1219" spans="12:12" ht="30" customHeight="1">
      <c r="L1219" s="101"/>
    </row>
    <row r="1220" spans="12:12" ht="30" customHeight="1">
      <c r="L1220" s="101"/>
    </row>
    <row r="1221" spans="12:12" ht="30" customHeight="1">
      <c r="L1221" s="101"/>
    </row>
    <row r="1222" spans="12:12" ht="30" customHeight="1">
      <c r="L1222" s="101"/>
    </row>
    <row r="1223" spans="12:12" ht="30" customHeight="1">
      <c r="L1223" s="101"/>
    </row>
    <row r="1224" spans="12:12" ht="30" customHeight="1">
      <c r="L1224" s="101"/>
    </row>
    <row r="1225" spans="12:12" ht="30" customHeight="1">
      <c r="L1225" s="101"/>
    </row>
    <row r="1226" spans="12:12" ht="30" customHeight="1">
      <c r="L1226" s="101"/>
    </row>
    <row r="1227" spans="12:12" ht="30" customHeight="1">
      <c r="L1227" s="101"/>
    </row>
    <row r="1228" spans="12:12" ht="30" customHeight="1">
      <c r="L1228" s="101"/>
    </row>
    <row r="1229" spans="12:12" ht="30" customHeight="1">
      <c r="L1229" s="101"/>
    </row>
    <row r="1230" spans="12:12" ht="30" customHeight="1">
      <c r="L1230" s="101"/>
    </row>
    <row r="1231" spans="12:12" ht="30" customHeight="1">
      <c r="L1231" s="101"/>
    </row>
    <row r="1232" spans="12:12" ht="30" customHeight="1">
      <c r="L1232" s="101"/>
    </row>
  </sheetData>
  <autoFilter ref="A1:O1232"/>
  <phoneticPr fontId="125" type="noConversion"/>
  <conditionalFormatting sqref="E2:O2 B194:B1010 L3:M125 L126:L1232 A3:A1010 B84:B185 M126:M1010 B3:K83 C84:K1010 N3:O1010">
    <cfRule type="expression" dxfId="61" priority="16">
      <formula>$G2="False"</formula>
    </cfRule>
  </conditionalFormatting>
  <conditionalFormatting sqref="N2:N1010">
    <cfRule type="expression" dxfId="60" priority="15">
      <formula>$G2 &lt;&gt; "Macro"</formula>
    </cfRule>
  </conditionalFormatting>
  <conditionalFormatting sqref="A2:D2">
    <cfRule type="expression" dxfId="59" priority="14">
      <formula>$G2="False"</formula>
    </cfRule>
  </conditionalFormatting>
  <conditionalFormatting sqref="F3:F20">
    <cfRule type="expression" dxfId="58" priority="13">
      <formula>$G3="False"</formula>
    </cfRule>
  </conditionalFormatting>
  <conditionalFormatting sqref="G3:G20">
    <cfRule type="expression" dxfId="57" priority="12">
      <formula>$G3="False"</formula>
    </cfRule>
  </conditionalFormatting>
  <conditionalFormatting sqref="H3:H20">
    <cfRule type="expression" dxfId="56" priority="11">
      <formula>$G3="False"</formula>
    </cfRule>
  </conditionalFormatting>
  <conditionalFormatting sqref="I3:J20">
    <cfRule type="expression" dxfId="55" priority="10">
      <formula>$G3="False"</formula>
    </cfRule>
  </conditionalFormatting>
  <conditionalFormatting sqref="D4">
    <cfRule type="expression" dxfId="54" priority="9">
      <formula>$G4="False"</formula>
    </cfRule>
  </conditionalFormatting>
  <conditionalFormatting sqref="D5">
    <cfRule type="expression" dxfId="53" priority="8">
      <formula>$G5="False"</formula>
    </cfRule>
  </conditionalFormatting>
  <conditionalFormatting sqref="D7">
    <cfRule type="expression" dxfId="52" priority="7">
      <formula>$G7="False"</formula>
    </cfRule>
  </conditionalFormatting>
  <conditionalFormatting sqref="F44">
    <cfRule type="expression" dxfId="51" priority="6">
      <formula>$G44="False"</formula>
    </cfRule>
  </conditionalFormatting>
  <conditionalFormatting sqref="G44">
    <cfRule type="expression" dxfId="50" priority="5">
      <formula>$G44="False"</formula>
    </cfRule>
  </conditionalFormatting>
  <conditionalFormatting sqref="H44">
    <cfRule type="expression" dxfId="49" priority="4">
      <formula>$G44="False"</formula>
    </cfRule>
  </conditionalFormatting>
  <conditionalFormatting sqref="I44:J44">
    <cfRule type="expression" dxfId="48" priority="3">
      <formula>$G44="False"</formula>
    </cfRule>
  </conditionalFormatting>
  <conditionalFormatting sqref="B186:B193">
    <cfRule type="expression" dxfId="47" priority="2">
      <formula>$G186="False"</formula>
    </cfRule>
  </conditionalFormatting>
  <conditionalFormatting sqref="B194">
    <cfRule type="expression" dxfId="46" priority="1">
      <formula>$G194="False"</formula>
    </cfRule>
  </conditionalFormatting>
  <dataValidations count="9">
    <dataValidation type="list" allowBlank="1" showInputMessage="1" showErrorMessage="1" sqref="P2:P1010 JL2:JL1010 TH2:TH1010 ADD2:ADD1010 AMZ2:AMZ1010 AWV2:AWV1010 BGR2:BGR1010 BQN2:BQN1010 CAJ2:CAJ1010 CKF2:CKF1010 CUB2:CUB1010 DDX2:DDX1010 DNT2:DNT1010 DXP2:DXP1010 EHL2:EHL1010 ERH2:ERH1010 FBD2:FBD1010 FKZ2:FKZ1010 FUV2:FUV1010 GER2:GER1010 GON2:GON1010 GYJ2:GYJ1010 HIF2:HIF1010 HSB2:HSB1010 IBX2:IBX1010 ILT2:ILT1010 IVP2:IVP1010 JFL2:JFL1010 JPH2:JPH1010 JZD2:JZD1010 KIZ2:KIZ1010 KSV2:KSV1010 LCR2:LCR1010 LMN2:LMN1010 LWJ2:LWJ1010 MGF2:MGF1010 MQB2:MQB1010 MZX2:MZX1010 NJT2:NJT1010 NTP2:NTP1010 ODL2:ODL1010 ONH2:ONH1010 OXD2:OXD1010 PGZ2:PGZ1010 PQV2:PQV1010 QAR2:QAR1010 QKN2:QKN1010 QUJ2:QUJ1010 REF2:REF1010 ROB2:ROB1010 RXX2:RXX1010 SHT2:SHT1010 SRP2:SRP1010 TBL2:TBL1010 TLH2:TLH1010 TVD2:TVD1010 UEZ2:UEZ1010 UOV2:UOV1010 UYR2:UYR1010 VIN2:VIN1010 VSJ2:VSJ1010 WCF2:WCF1010 WMB2:WMB1010 WVX2:WVX1010 P65538:P66546 JL65538:JL66546 TH65538:TH66546 ADD65538:ADD66546 AMZ65538:AMZ66546 AWV65538:AWV66546 BGR65538:BGR66546 BQN65538:BQN66546 CAJ65538:CAJ66546 CKF65538:CKF66546 CUB65538:CUB66546 DDX65538:DDX66546 DNT65538:DNT66546 DXP65538:DXP66546 EHL65538:EHL66546 ERH65538:ERH66546 FBD65538:FBD66546 FKZ65538:FKZ66546 FUV65538:FUV66546 GER65538:GER66546 GON65538:GON66546 GYJ65538:GYJ66546 HIF65538:HIF66546 HSB65538:HSB66546 IBX65538:IBX66546 ILT65538:ILT66546 IVP65538:IVP66546 JFL65538:JFL66546 JPH65538:JPH66546 JZD65538:JZD66546 KIZ65538:KIZ66546 KSV65538:KSV66546 LCR65538:LCR66546 LMN65538:LMN66546 LWJ65538:LWJ66546 MGF65538:MGF66546 MQB65538:MQB66546 MZX65538:MZX66546 NJT65538:NJT66546 NTP65538:NTP66546 ODL65538:ODL66546 ONH65538:ONH66546 OXD65538:OXD66546 PGZ65538:PGZ66546 PQV65538:PQV66546 QAR65538:QAR66546 QKN65538:QKN66546 QUJ65538:QUJ66546 REF65538:REF66546 ROB65538:ROB66546 RXX65538:RXX66546 SHT65538:SHT66546 SRP65538:SRP66546 TBL65538:TBL66546 TLH65538:TLH66546 TVD65538:TVD66546 UEZ65538:UEZ66546 UOV65538:UOV66546 UYR65538:UYR66546 VIN65538:VIN66546 VSJ65538:VSJ66546 WCF65538:WCF66546 WMB65538:WMB66546 WVX65538:WVX66546 P131074:P132082 JL131074:JL132082 TH131074:TH132082 ADD131074:ADD132082 AMZ131074:AMZ132082 AWV131074:AWV132082 BGR131074:BGR132082 BQN131074:BQN132082 CAJ131074:CAJ132082 CKF131074:CKF132082 CUB131074:CUB132082 DDX131074:DDX132082 DNT131074:DNT132082 DXP131074:DXP132082 EHL131074:EHL132082 ERH131074:ERH132082 FBD131074:FBD132082 FKZ131074:FKZ132082 FUV131074:FUV132082 GER131074:GER132082 GON131074:GON132082 GYJ131074:GYJ132082 HIF131074:HIF132082 HSB131074:HSB132082 IBX131074:IBX132082 ILT131074:ILT132082 IVP131074:IVP132082 JFL131074:JFL132082 JPH131074:JPH132082 JZD131074:JZD132082 KIZ131074:KIZ132082 KSV131074:KSV132082 LCR131074:LCR132082 LMN131074:LMN132082 LWJ131074:LWJ132082 MGF131074:MGF132082 MQB131074:MQB132082 MZX131074:MZX132082 NJT131074:NJT132082 NTP131074:NTP132082 ODL131074:ODL132082 ONH131074:ONH132082 OXD131074:OXD132082 PGZ131074:PGZ132082 PQV131074:PQV132082 QAR131074:QAR132082 QKN131074:QKN132082 QUJ131074:QUJ132082 REF131074:REF132082 ROB131074:ROB132082 RXX131074:RXX132082 SHT131074:SHT132082 SRP131074:SRP132082 TBL131074:TBL132082 TLH131074:TLH132082 TVD131074:TVD132082 UEZ131074:UEZ132082 UOV131074:UOV132082 UYR131074:UYR132082 VIN131074:VIN132082 VSJ131074:VSJ132082 WCF131074:WCF132082 WMB131074:WMB132082 WVX131074:WVX132082 P196610:P197618 JL196610:JL197618 TH196610:TH197618 ADD196610:ADD197618 AMZ196610:AMZ197618 AWV196610:AWV197618 BGR196610:BGR197618 BQN196610:BQN197618 CAJ196610:CAJ197618 CKF196610:CKF197618 CUB196610:CUB197618 DDX196610:DDX197618 DNT196610:DNT197618 DXP196610:DXP197618 EHL196610:EHL197618 ERH196610:ERH197618 FBD196610:FBD197618 FKZ196610:FKZ197618 FUV196610:FUV197618 GER196610:GER197618 GON196610:GON197618 GYJ196610:GYJ197618 HIF196610:HIF197618 HSB196610:HSB197618 IBX196610:IBX197618 ILT196610:ILT197618 IVP196610:IVP197618 JFL196610:JFL197618 JPH196610:JPH197618 JZD196610:JZD197618 KIZ196610:KIZ197618 KSV196610:KSV197618 LCR196610:LCR197618 LMN196610:LMN197618 LWJ196610:LWJ197618 MGF196610:MGF197618 MQB196610:MQB197618 MZX196610:MZX197618 NJT196610:NJT197618 NTP196610:NTP197618 ODL196610:ODL197618 ONH196610:ONH197618 OXD196610:OXD197618 PGZ196610:PGZ197618 PQV196610:PQV197618 QAR196610:QAR197618 QKN196610:QKN197618 QUJ196610:QUJ197618 REF196610:REF197618 ROB196610:ROB197618 RXX196610:RXX197618 SHT196610:SHT197618 SRP196610:SRP197618 TBL196610:TBL197618 TLH196610:TLH197618 TVD196610:TVD197618 UEZ196610:UEZ197618 UOV196610:UOV197618 UYR196610:UYR197618 VIN196610:VIN197618 VSJ196610:VSJ197618 WCF196610:WCF197618 WMB196610:WMB197618 WVX196610:WVX197618 P262146:P263154 JL262146:JL263154 TH262146:TH263154 ADD262146:ADD263154 AMZ262146:AMZ263154 AWV262146:AWV263154 BGR262146:BGR263154 BQN262146:BQN263154 CAJ262146:CAJ263154 CKF262146:CKF263154 CUB262146:CUB263154 DDX262146:DDX263154 DNT262146:DNT263154 DXP262146:DXP263154 EHL262146:EHL263154 ERH262146:ERH263154 FBD262146:FBD263154 FKZ262146:FKZ263154 FUV262146:FUV263154 GER262146:GER263154 GON262146:GON263154 GYJ262146:GYJ263154 HIF262146:HIF263154 HSB262146:HSB263154 IBX262146:IBX263154 ILT262146:ILT263154 IVP262146:IVP263154 JFL262146:JFL263154 JPH262146:JPH263154 JZD262146:JZD263154 KIZ262146:KIZ263154 KSV262146:KSV263154 LCR262146:LCR263154 LMN262146:LMN263154 LWJ262146:LWJ263154 MGF262146:MGF263154 MQB262146:MQB263154 MZX262146:MZX263154 NJT262146:NJT263154 NTP262146:NTP263154 ODL262146:ODL263154 ONH262146:ONH263154 OXD262146:OXD263154 PGZ262146:PGZ263154 PQV262146:PQV263154 QAR262146:QAR263154 QKN262146:QKN263154 QUJ262146:QUJ263154 REF262146:REF263154 ROB262146:ROB263154 RXX262146:RXX263154 SHT262146:SHT263154 SRP262146:SRP263154 TBL262146:TBL263154 TLH262146:TLH263154 TVD262146:TVD263154 UEZ262146:UEZ263154 UOV262146:UOV263154 UYR262146:UYR263154 VIN262146:VIN263154 VSJ262146:VSJ263154 WCF262146:WCF263154 WMB262146:WMB263154 WVX262146:WVX263154 P327682:P328690 JL327682:JL328690 TH327682:TH328690 ADD327682:ADD328690 AMZ327682:AMZ328690 AWV327682:AWV328690 BGR327682:BGR328690 BQN327682:BQN328690 CAJ327682:CAJ328690 CKF327682:CKF328690 CUB327682:CUB328690 DDX327682:DDX328690 DNT327682:DNT328690 DXP327682:DXP328690 EHL327682:EHL328690 ERH327682:ERH328690 FBD327682:FBD328690 FKZ327682:FKZ328690 FUV327682:FUV328690 GER327682:GER328690 GON327682:GON328690 GYJ327682:GYJ328690 HIF327682:HIF328690 HSB327682:HSB328690 IBX327682:IBX328690 ILT327682:ILT328690 IVP327682:IVP328690 JFL327682:JFL328690 JPH327682:JPH328690 JZD327682:JZD328690 KIZ327682:KIZ328690 KSV327682:KSV328690 LCR327682:LCR328690 LMN327682:LMN328690 LWJ327682:LWJ328690 MGF327682:MGF328690 MQB327682:MQB328690 MZX327682:MZX328690 NJT327682:NJT328690 NTP327682:NTP328690 ODL327682:ODL328690 ONH327682:ONH328690 OXD327682:OXD328690 PGZ327682:PGZ328690 PQV327682:PQV328690 QAR327682:QAR328690 QKN327682:QKN328690 QUJ327682:QUJ328690 REF327682:REF328690 ROB327682:ROB328690 RXX327682:RXX328690 SHT327682:SHT328690 SRP327682:SRP328690 TBL327682:TBL328690 TLH327682:TLH328690 TVD327682:TVD328690 UEZ327682:UEZ328690 UOV327682:UOV328690 UYR327682:UYR328690 VIN327682:VIN328690 VSJ327682:VSJ328690 WCF327682:WCF328690 WMB327682:WMB328690 WVX327682:WVX328690 P393218:P394226 JL393218:JL394226 TH393218:TH394226 ADD393218:ADD394226 AMZ393218:AMZ394226 AWV393218:AWV394226 BGR393218:BGR394226 BQN393218:BQN394226 CAJ393218:CAJ394226 CKF393218:CKF394226 CUB393218:CUB394226 DDX393218:DDX394226 DNT393218:DNT394226 DXP393218:DXP394226 EHL393218:EHL394226 ERH393218:ERH394226 FBD393218:FBD394226 FKZ393218:FKZ394226 FUV393218:FUV394226 GER393218:GER394226 GON393218:GON394226 GYJ393218:GYJ394226 HIF393218:HIF394226 HSB393218:HSB394226 IBX393218:IBX394226 ILT393218:ILT394226 IVP393218:IVP394226 JFL393218:JFL394226 JPH393218:JPH394226 JZD393218:JZD394226 KIZ393218:KIZ394226 KSV393218:KSV394226 LCR393218:LCR394226 LMN393218:LMN394226 LWJ393218:LWJ394226 MGF393218:MGF394226 MQB393218:MQB394226 MZX393218:MZX394226 NJT393218:NJT394226 NTP393218:NTP394226 ODL393218:ODL394226 ONH393218:ONH394226 OXD393218:OXD394226 PGZ393218:PGZ394226 PQV393218:PQV394226 QAR393218:QAR394226 QKN393218:QKN394226 QUJ393218:QUJ394226 REF393218:REF394226 ROB393218:ROB394226 RXX393218:RXX394226 SHT393218:SHT394226 SRP393218:SRP394226 TBL393218:TBL394226 TLH393218:TLH394226 TVD393218:TVD394226 UEZ393218:UEZ394226 UOV393218:UOV394226 UYR393218:UYR394226 VIN393218:VIN394226 VSJ393218:VSJ394226 WCF393218:WCF394226 WMB393218:WMB394226 WVX393218:WVX394226 P458754:P459762 JL458754:JL459762 TH458754:TH459762 ADD458754:ADD459762 AMZ458754:AMZ459762 AWV458754:AWV459762 BGR458754:BGR459762 BQN458754:BQN459762 CAJ458754:CAJ459762 CKF458754:CKF459762 CUB458754:CUB459762 DDX458754:DDX459762 DNT458754:DNT459762 DXP458754:DXP459762 EHL458754:EHL459762 ERH458754:ERH459762 FBD458754:FBD459762 FKZ458754:FKZ459762 FUV458754:FUV459762 GER458754:GER459762 GON458754:GON459762 GYJ458754:GYJ459762 HIF458754:HIF459762 HSB458754:HSB459762 IBX458754:IBX459762 ILT458754:ILT459762 IVP458754:IVP459762 JFL458754:JFL459762 JPH458754:JPH459762 JZD458754:JZD459762 KIZ458754:KIZ459762 KSV458754:KSV459762 LCR458754:LCR459762 LMN458754:LMN459762 LWJ458754:LWJ459762 MGF458754:MGF459762 MQB458754:MQB459762 MZX458754:MZX459762 NJT458754:NJT459762 NTP458754:NTP459762 ODL458754:ODL459762 ONH458754:ONH459762 OXD458754:OXD459762 PGZ458754:PGZ459762 PQV458754:PQV459762 QAR458754:QAR459762 QKN458754:QKN459762 QUJ458754:QUJ459762 REF458754:REF459762 ROB458754:ROB459762 RXX458754:RXX459762 SHT458754:SHT459762 SRP458754:SRP459762 TBL458754:TBL459762 TLH458754:TLH459762 TVD458754:TVD459762 UEZ458754:UEZ459762 UOV458754:UOV459762 UYR458754:UYR459762 VIN458754:VIN459762 VSJ458754:VSJ459762 WCF458754:WCF459762 WMB458754:WMB459762 WVX458754:WVX459762 P524290:P525298 JL524290:JL525298 TH524290:TH525298 ADD524290:ADD525298 AMZ524290:AMZ525298 AWV524290:AWV525298 BGR524290:BGR525298 BQN524290:BQN525298 CAJ524290:CAJ525298 CKF524290:CKF525298 CUB524290:CUB525298 DDX524290:DDX525298 DNT524290:DNT525298 DXP524290:DXP525298 EHL524290:EHL525298 ERH524290:ERH525298 FBD524290:FBD525298 FKZ524290:FKZ525298 FUV524290:FUV525298 GER524290:GER525298 GON524290:GON525298 GYJ524290:GYJ525298 HIF524290:HIF525298 HSB524290:HSB525298 IBX524290:IBX525298 ILT524290:ILT525298 IVP524290:IVP525298 JFL524290:JFL525298 JPH524290:JPH525298 JZD524290:JZD525298 KIZ524290:KIZ525298 KSV524290:KSV525298 LCR524290:LCR525298 LMN524290:LMN525298 LWJ524290:LWJ525298 MGF524290:MGF525298 MQB524290:MQB525298 MZX524290:MZX525298 NJT524290:NJT525298 NTP524290:NTP525298 ODL524290:ODL525298 ONH524290:ONH525298 OXD524290:OXD525298 PGZ524290:PGZ525298 PQV524290:PQV525298 QAR524290:QAR525298 QKN524290:QKN525298 QUJ524290:QUJ525298 REF524290:REF525298 ROB524290:ROB525298 RXX524290:RXX525298 SHT524290:SHT525298 SRP524290:SRP525298 TBL524290:TBL525298 TLH524290:TLH525298 TVD524290:TVD525298 UEZ524290:UEZ525298 UOV524290:UOV525298 UYR524290:UYR525298 VIN524290:VIN525298 VSJ524290:VSJ525298 WCF524290:WCF525298 WMB524290:WMB525298 WVX524290:WVX525298 P589826:P590834 JL589826:JL590834 TH589826:TH590834 ADD589826:ADD590834 AMZ589826:AMZ590834 AWV589826:AWV590834 BGR589826:BGR590834 BQN589826:BQN590834 CAJ589826:CAJ590834 CKF589826:CKF590834 CUB589826:CUB590834 DDX589826:DDX590834 DNT589826:DNT590834 DXP589826:DXP590834 EHL589826:EHL590834 ERH589826:ERH590834 FBD589826:FBD590834 FKZ589826:FKZ590834 FUV589826:FUV590834 GER589826:GER590834 GON589826:GON590834 GYJ589826:GYJ590834 HIF589826:HIF590834 HSB589826:HSB590834 IBX589826:IBX590834 ILT589826:ILT590834 IVP589826:IVP590834 JFL589826:JFL590834 JPH589826:JPH590834 JZD589826:JZD590834 KIZ589826:KIZ590834 KSV589826:KSV590834 LCR589826:LCR590834 LMN589826:LMN590834 LWJ589826:LWJ590834 MGF589826:MGF590834 MQB589826:MQB590834 MZX589826:MZX590834 NJT589826:NJT590834 NTP589826:NTP590834 ODL589826:ODL590834 ONH589826:ONH590834 OXD589826:OXD590834 PGZ589826:PGZ590834 PQV589826:PQV590834 QAR589826:QAR590834 QKN589826:QKN590834 QUJ589826:QUJ590834 REF589826:REF590834 ROB589826:ROB590834 RXX589826:RXX590834 SHT589826:SHT590834 SRP589826:SRP590834 TBL589826:TBL590834 TLH589826:TLH590834 TVD589826:TVD590834 UEZ589826:UEZ590834 UOV589826:UOV590834 UYR589826:UYR590834 VIN589826:VIN590834 VSJ589826:VSJ590834 WCF589826:WCF590834 WMB589826:WMB590834 WVX589826:WVX590834 P655362:P656370 JL655362:JL656370 TH655362:TH656370 ADD655362:ADD656370 AMZ655362:AMZ656370 AWV655362:AWV656370 BGR655362:BGR656370 BQN655362:BQN656370 CAJ655362:CAJ656370 CKF655362:CKF656370 CUB655362:CUB656370 DDX655362:DDX656370 DNT655362:DNT656370 DXP655362:DXP656370 EHL655362:EHL656370 ERH655362:ERH656370 FBD655362:FBD656370 FKZ655362:FKZ656370 FUV655362:FUV656370 GER655362:GER656370 GON655362:GON656370 GYJ655362:GYJ656370 HIF655362:HIF656370 HSB655362:HSB656370 IBX655362:IBX656370 ILT655362:ILT656370 IVP655362:IVP656370 JFL655362:JFL656370 JPH655362:JPH656370 JZD655362:JZD656370 KIZ655362:KIZ656370 KSV655362:KSV656370 LCR655362:LCR656370 LMN655362:LMN656370 LWJ655362:LWJ656370 MGF655362:MGF656370 MQB655362:MQB656370 MZX655362:MZX656370 NJT655362:NJT656370 NTP655362:NTP656370 ODL655362:ODL656370 ONH655362:ONH656370 OXD655362:OXD656370 PGZ655362:PGZ656370 PQV655362:PQV656370 QAR655362:QAR656370 QKN655362:QKN656370 QUJ655362:QUJ656370 REF655362:REF656370 ROB655362:ROB656370 RXX655362:RXX656370 SHT655362:SHT656370 SRP655362:SRP656370 TBL655362:TBL656370 TLH655362:TLH656370 TVD655362:TVD656370 UEZ655362:UEZ656370 UOV655362:UOV656370 UYR655362:UYR656370 VIN655362:VIN656370 VSJ655362:VSJ656370 WCF655362:WCF656370 WMB655362:WMB656370 WVX655362:WVX656370 P720898:P721906 JL720898:JL721906 TH720898:TH721906 ADD720898:ADD721906 AMZ720898:AMZ721906 AWV720898:AWV721906 BGR720898:BGR721906 BQN720898:BQN721906 CAJ720898:CAJ721906 CKF720898:CKF721906 CUB720898:CUB721906 DDX720898:DDX721906 DNT720898:DNT721906 DXP720898:DXP721906 EHL720898:EHL721906 ERH720898:ERH721906 FBD720898:FBD721906 FKZ720898:FKZ721906 FUV720898:FUV721906 GER720898:GER721906 GON720898:GON721906 GYJ720898:GYJ721906 HIF720898:HIF721906 HSB720898:HSB721906 IBX720898:IBX721906 ILT720898:ILT721906 IVP720898:IVP721906 JFL720898:JFL721906 JPH720898:JPH721906 JZD720898:JZD721906 KIZ720898:KIZ721906 KSV720898:KSV721906 LCR720898:LCR721906 LMN720898:LMN721906 LWJ720898:LWJ721906 MGF720898:MGF721906 MQB720898:MQB721906 MZX720898:MZX721906 NJT720898:NJT721906 NTP720898:NTP721906 ODL720898:ODL721906 ONH720898:ONH721906 OXD720898:OXD721906 PGZ720898:PGZ721906 PQV720898:PQV721906 QAR720898:QAR721906 QKN720898:QKN721906 QUJ720898:QUJ721906 REF720898:REF721906 ROB720898:ROB721906 RXX720898:RXX721906 SHT720898:SHT721906 SRP720898:SRP721906 TBL720898:TBL721906 TLH720898:TLH721906 TVD720898:TVD721906 UEZ720898:UEZ721906 UOV720898:UOV721906 UYR720898:UYR721906 VIN720898:VIN721906 VSJ720898:VSJ721906 WCF720898:WCF721906 WMB720898:WMB721906 WVX720898:WVX721906 P786434:P787442 JL786434:JL787442 TH786434:TH787442 ADD786434:ADD787442 AMZ786434:AMZ787442 AWV786434:AWV787442 BGR786434:BGR787442 BQN786434:BQN787442 CAJ786434:CAJ787442 CKF786434:CKF787442 CUB786434:CUB787442 DDX786434:DDX787442 DNT786434:DNT787442 DXP786434:DXP787442 EHL786434:EHL787442 ERH786434:ERH787442 FBD786434:FBD787442 FKZ786434:FKZ787442 FUV786434:FUV787442 GER786434:GER787442 GON786434:GON787442 GYJ786434:GYJ787442 HIF786434:HIF787442 HSB786434:HSB787442 IBX786434:IBX787442 ILT786434:ILT787442 IVP786434:IVP787442 JFL786434:JFL787442 JPH786434:JPH787442 JZD786434:JZD787442 KIZ786434:KIZ787442 KSV786434:KSV787442 LCR786434:LCR787442 LMN786434:LMN787442 LWJ786434:LWJ787442 MGF786434:MGF787442 MQB786434:MQB787442 MZX786434:MZX787442 NJT786434:NJT787442 NTP786434:NTP787442 ODL786434:ODL787442 ONH786434:ONH787442 OXD786434:OXD787442 PGZ786434:PGZ787442 PQV786434:PQV787442 QAR786434:QAR787442 QKN786434:QKN787442 QUJ786434:QUJ787442 REF786434:REF787442 ROB786434:ROB787442 RXX786434:RXX787442 SHT786434:SHT787442 SRP786434:SRP787442 TBL786434:TBL787442 TLH786434:TLH787442 TVD786434:TVD787442 UEZ786434:UEZ787442 UOV786434:UOV787442 UYR786434:UYR787442 VIN786434:VIN787442 VSJ786434:VSJ787442 WCF786434:WCF787442 WMB786434:WMB787442 WVX786434:WVX787442 P851970:P852978 JL851970:JL852978 TH851970:TH852978 ADD851970:ADD852978 AMZ851970:AMZ852978 AWV851970:AWV852978 BGR851970:BGR852978 BQN851970:BQN852978 CAJ851970:CAJ852978 CKF851970:CKF852978 CUB851970:CUB852978 DDX851970:DDX852978 DNT851970:DNT852978 DXP851970:DXP852978 EHL851970:EHL852978 ERH851970:ERH852978 FBD851970:FBD852978 FKZ851970:FKZ852978 FUV851970:FUV852978 GER851970:GER852978 GON851970:GON852978 GYJ851970:GYJ852978 HIF851970:HIF852978 HSB851970:HSB852978 IBX851970:IBX852978 ILT851970:ILT852978 IVP851970:IVP852978 JFL851970:JFL852978 JPH851970:JPH852978 JZD851970:JZD852978 KIZ851970:KIZ852978 KSV851970:KSV852978 LCR851970:LCR852978 LMN851970:LMN852978 LWJ851970:LWJ852978 MGF851970:MGF852978 MQB851970:MQB852978 MZX851970:MZX852978 NJT851970:NJT852978 NTP851970:NTP852978 ODL851970:ODL852978 ONH851970:ONH852978 OXD851970:OXD852978 PGZ851970:PGZ852978 PQV851970:PQV852978 QAR851970:QAR852978 QKN851970:QKN852978 QUJ851970:QUJ852978 REF851970:REF852978 ROB851970:ROB852978 RXX851970:RXX852978 SHT851970:SHT852978 SRP851970:SRP852978 TBL851970:TBL852978 TLH851970:TLH852978 TVD851970:TVD852978 UEZ851970:UEZ852978 UOV851970:UOV852978 UYR851970:UYR852978 VIN851970:VIN852978 VSJ851970:VSJ852978 WCF851970:WCF852978 WMB851970:WMB852978 WVX851970:WVX852978 P917506:P918514 JL917506:JL918514 TH917506:TH918514 ADD917506:ADD918514 AMZ917506:AMZ918514 AWV917506:AWV918514 BGR917506:BGR918514 BQN917506:BQN918514 CAJ917506:CAJ918514 CKF917506:CKF918514 CUB917506:CUB918514 DDX917506:DDX918514 DNT917506:DNT918514 DXP917506:DXP918514 EHL917506:EHL918514 ERH917506:ERH918514 FBD917506:FBD918514 FKZ917506:FKZ918514 FUV917506:FUV918514 GER917506:GER918514 GON917506:GON918514 GYJ917506:GYJ918514 HIF917506:HIF918514 HSB917506:HSB918514 IBX917506:IBX918514 ILT917506:ILT918514 IVP917506:IVP918514 JFL917506:JFL918514 JPH917506:JPH918514 JZD917506:JZD918514 KIZ917506:KIZ918514 KSV917506:KSV918514 LCR917506:LCR918514 LMN917506:LMN918514 LWJ917506:LWJ918514 MGF917506:MGF918514 MQB917506:MQB918514 MZX917506:MZX918514 NJT917506:NJT918514 NTP917506:NTP918514 ODL917506:ODL918514 ONH917506:ONH918514 OXD917506:OXD918514 PGZ917506:PGZ918514 PQV917506:PQV918514 QAR917506:QAR918514 QKN917506:QKN918514 QUJ917506:QUJ918514 REF917506:REF918514 ROB917506:ROB918514 RXX917506:RXX918514 SHT917506:SHT918514 SRP917506:SRP918514 TBL917506:TBL918514 TLH917506:TLH918514 TVD917506:TVD918514 UEZ917506:UEZ918514 UOV917506:UOV918514 UYR917506:UYR918514 VIN917506:VIN918514 VSJ917506:VSJ918514 WCF917506:WCF918514 WMB917506:WMB918514 WVX917506:WVX918514 P983042:P984050 JL983042:JL984050 TH983042:TH984050 ADD983042:ADD984050 AMZ983042:AMZ984050 AWV983042:AWV984050 BGR983042:BGR984050 BQN983042:BQN984050 CAJ983042:CAJ984050 CKF983042:CKF984050 CUB983042:CUB984050 DDX983042:DDX984050 DNT983042:DNT984050 DXP983042:DXP984050 EHL983042:EHL984050 ERH983042:ERH984050 FBD983042:FBD984050 FKZ983042:FKZ984050 FUV983042:FUV984050 GER983042:GER984050 GON983042:GON984050 GYJ983042:GYJ984050 HIF983042:HIF984050 HSB983042:HSB984050 IBX983042:IBX984050 ILT983042:ILT984050 IVP983042:IVP984050 JFL983042:JFL984050 JPH983042:JPH984050 JZD983042:JZD984050 KIZ983042:KIZ984050 KSV983042:KSV984050 LCR983042:LCR984050 LMN983042:LMN984050 LWJ983042:LWJ984050 MGF983042:MGF984050 MQB983042:MQB984050 MZX983042:MZX984050 NJT983042:NJT984050 NTP983042:NTP984050 ODL983042:ODL984050 ONH983042:ONH984050 OXD983042:OXD984050 PGZ983042:PGZ984050 PQV983042:PQV984050 QAR983042:QAR984050 QKN983042:QKN984050 QUJ983042:QUJ984050 REF983042:REF984050 ROB983042:ROB984050 RXX983042:RXX984050 SHT983042:SHT984050 SRP983042:SRP984050 TBL983042:TBL984050 TLH983042:TLH984050 TVD983042:TVD984050 UEZ983042:UEZ984050 UOV983042:UOV984050 UYR983042:UYR984050 VIN983042:VIN984050 VSJ983042:VSJ984050 WCF983042:WCF984050 WMB983042:WMB984050 WVX983042:WVX984050">
      <formula1>HookEn</formula1>
    </dataValidation>
    <dataValidation type="list" allowBlank="1" showInputMessage="1" showErrorMessage="1" sqref="D2:D1010 IZ2:IZ1010 SV2:SV1010 ACR2:ACR1010 AMN2:AMN1010 AWJ2:AWJ1010 BGF2:BGF1010 BQB2:BQB1010 BZX2:BZX1010 CJT2:CJT1010 CTP2:CTP1010 DDL2:DDL1010 DNH2:DNH1010 DXD2:DXD1010 EGZ2:EGZ1010 EQV2:EQV1010 FAR2:FAR1010 FKN2:FKN1010 FUJ2:FUJ1010 GEF2:GEF1010 GOB2:GOB1010 GXX2:GXX1010 HHT2:HHT1010 HRP2:HRP1010 IBL2:IBL1010 ILH2:ILH1010 IVD2:IVD1010 JEZ2:JEZ1010 JOV2:JOV1010 JYR2:JYR1010 KIN2:KIN1010 KSJ2:KSJ1010 LCF2:LCF1010 LMB2:LMB1010 LVX2:LVX1010 MFT2:MFT1010 MPP2:MPP1010 MZL2:MZL1010 NJH2:NJH1010 NTD2:NTD1010 OCZ2:OCZ1010 OMV2:OMV1010 OWR2:OWR1010 PGN2:PGN1010 PQJ2:PQJ1010 QAF2:QAF1010 QKB2:QKB1010 QTX2:QTX1010 RDT2:RDT1010 RNP2:RNP1010 RXL2:RXL1010 SHH2:SHH1010 SRD2:SRD1010 TAZ2:TAZ1010 TKV2:TKV1010 TUR2:TUR1010 UEN2:UEN1010 UOJ2:UOJ1010 UYF2:UYF1010 VIB2:VIB1010 VRX2:VRX1010 WBT2:WBT1010 WLP2:WLP1010 WVL2:WVL1010 D65538:D66546 IZ65538:IZ66546 SV65538:SV66546 ACR65538:ACR66546 AMN65538:AMN66546 AWJ65538:AWJ66546 BGF65538:BGF66546 BQB65538:BQB66546 BZX65538:BZX66546 CJT65538:CJT66546 CTP65538:CTP66546 DDL65538:DDL66546 DNH65538:DNH66546 DXD65538:DXD66546 EGZ65538:EGZ66546 EQV65538:EQV66546 FAR65538:FAR66546 FKN65538:FKN66546 FUJ65538:FUJ66546 GEF65538:GEF66546 GOB65538:GOB66546 GXX65538:GXX66546 HHT65538:HHT66546 HRP65538:HRP66546 IBL65538:IBL66546 ILH65538:ILH66546 IVD65538:IVD66546 JEZ65538:JEZ66546 JOV65538:JOV66546 JYR65538:JYR66546 KIN65538:KIN66546 KSJ65538:KSJ66546 LCF65538:LCF66546 LMB65538:LMB66546 LVX65538:LVX66546 MFT65538:MFT66546 MPP65538:MPP66546 MZL65538:MZL66546 NJH65538:NJH66546 NTD65538:NTD66546 OCZ65538:OCZ66546 OMV65538:OMV66546 OWR65538:OWR66546 PGN65538:PGN66546 PQJ65538:PQJ66546 QAF65538:QAF66546 QKB65538:QKB66546 QTX65538:QTX66546 RDT65538:RDT66546 RNP65538:RNP66546 RXL65538:RXL66546 SHH65538:SHH66546 SRD65538:SRD66546 TAZ65538:TAZ66546 TKV65538:TKV66546 TUR65538:TUR66546 UEN65538:UEN66546 UOJ65538:UOJ66546 UYF65538:UYF66546 VIB65538:VIB66546 VRX65538:VRX66546 WBT65538:WBT66546 WLP65538:WLP66546 WVL65538:WVL66546 D131074:D132082 IZ131074:IZ132082 SV131074:SV132082 ACR131074:ACR132082 AMN131074:AMN132082 AWJ131074:AWJ132082 BGF131074:BGF132082 BQB131074:BQB132082 BZX131074:BZX132082 CJT131074:CJT132082 CTP131074:CTP132082 DDL131074:DDL132082 DNH131074:DNH132082 DXD131074:DXD132082 EGZ131074:EGZ132082 EQV131074:EQV132082 FAR131074:FAR132082 FKN131074:FKN132082 FUJ131074:FUJ132082 GEF131074:GEF132082 GOB131074:GOB132082 GXX131074:GXX132082 HHT131074:HHT132082 HRP131074:HRP132082 IBL131074:IBL132082 ILH131074:ILH132082 IVD131074:IVD132082 JEZ131074:JEZ132082 JOV131074:JOV132082 JYR131074:JYR132082 KIN131074:KIN132082 KSJ131074:KSJ132082 LCF131074:LCF132082 LMB131074:LMB132082 LVX131074:LVX132082 MFT131074:MFT132082 MPP131074:MPP132082 MZL131074:MZL132082 NJH131074:NJH132082 NTD131074:NTD132082 OCZ131074:OCZ132082 OMV131074:OMV132082 OWR131074:OWR132082 PGN131074:PGN132082 PQJ131074:PQJ132082 QAF131074:QAF132082 QKB131074:QKB132082 QTX131074:QTX132082 RDT131074:RDT132082 RNP131074:RNP132082 RXL131074:RXL132082 SHH131074:SHH132082 SRD131074:SRD132082 TAZ131074:TAZ132082 TKV131074:TKV132082 TUR131074:TUR132082 UEN131074:UEN132082 UOJ131074:UOJ132082 UYF131074:UYF132082 VIB131074:VIB132082 VRX131074:VRX132082 WBT131074:WBT132082 WLP131074:WLP132082 WVL131074:WVL132082 D196610:D197618 IZ196610:IZ197618 SV196610:SV197618 ACR196610:ACR197618 AMN196610:AMN197618 AWJ196610:AWJ197618 BGF196610:BGF197618 BQB196610:BQB197618 BZX196610:BZX197618 CJT196610:CJT197618 CTP196610:CTP197618 DDL196610:DDL197618 DNH196610:DNH197618 DXD196610:DXD197618 EGZ196610:EGZ197618 EQV196610:EQV197618 FAR196610:FAR197618 FKN196610:FKN197618 FUJ196610:FUJ197618 GEF196610:GEF197618 GOB196610:GOB197618 GXX196610:GXX197618 HHT196610:HHT197618 HRP196610:HRP197618 IBL196610:IBL197618 ILH196610:ILH197618 IVD196610:IVD197618 JEZ196610:JEZ197618 JOV196610:JOV197618 JYR196610:JYR197618 KIN196610:KIN197618 KSJ196610:KSJ197618 LCF196610:LCF197618 LMB196610:LMB197618 LVX196610:LVX197618 MFT196610:MFT197618 MPP196610:MPP197618 MZL196610:MZL197618 NJH196610:NJH197618 NTD196610:NTD197618 OCZ196610:OCZ197618 OMV196610:OMV197618 OWR196610:OWR197618 PGN196610:PGN197618 PQJ196610:PQJ197618 QAF196610:QAF197618 QKB196610:QKB197618 QTX196610:QTX197618 RDT196610:RDT197618 RNP196610:RNP197618 RXL196610:RXL197618 SHH196610:SHH197618 SRD196610:SRD197618 TAZ196610:TAZ197618 TKV196610:TKV197618 TUR196610:TUR197618 UEN196610:UEN197618 UOJ196610:UOJ197618 UYF196610:UYF197618 VIB196610:VIB197618 VRX196610:VRX197618 WBT196610:WBT197618 WLP196610:WLP197618 WVL196610:WVL197618 D262146:D263154 IZ262146:IZ263154 SV262146:SV263154 ACR262146:ACR263154 AMN262146:AMN263154 AWJ262146:AWJ263154 BGF262146:BGF263154 BQB262146:BQB263154 BZX262146:BZX263154 CJT262146:CJT263154 CTP262146:CTP263154 DDL262146:DDL263154 DNH262146:DNH263154 DXD262146:DXD263154 EGZ262146:EGZ263154 EQV262146:EQV263154 FAR262146:FAR263154 FKN262146:FKN263154 FUJ262146:FUJ263154 GEF262146:GEF263154 GOB262146:GOB263154 GXX262146:GXX263154 HHT262146:HHT263154 HRP262146:HRP263154 IBL262146:IBL263154 ILH262146:ILH263154 IVD262146:IVD263154 JEZ262146:JEZ263154 JOV262146:JOV263154 JYR262146:JYR263154 KIN262146:KIN263154 KSJ262146:KSJ263154 LCF262146:LCF263154 LMB262146:LMB263154 LVX262146:LVX263154 MFT262146:MFT263154 MPP262146:MPP263154 MZL262146:MZL263154 NJH262146:NJH263154 NTD262146:NTD263154 OCZ262146:OCZ263154 OMV262146:OMV263154 OWR262146:OWR263154 PGN262146:PGN263154 PQJ262146:PQJ263154 QAF262146:QAF263154 QKB262146:QKB263154 QTX262146:QTX263154 RDT262146:RDT263154 RNP262146:RNP263154 RXL262146:RXL263154 SHH262146:SHH263154 SRD262146:SRD263154 TAZ262146:TAZ263154 TKV262146:TKV263154 TUR262146:TUR263154 UEN262146:UEN263154 UOJ262146:UOJ263154 UYF262146:UYF263154 VIB262146:VIB263154 VRX262146:VRX263154 WBT262146:WBT263154 WLP262146:WLP263154 WVL262146:WVL263154 D327682:D328690 IZ327682:IZ328690 SV327682:SV328690 ACR327682:ACR328690 AMN327682:AMN328690 AWJ327682:AWJ328690 BGF327682:BGF328690 BQB327682:BQB328690 BZX327682:BZX328690 CJT327682:CJT328690 CTP327682:CTP328690 DDL327682:DDL328690 DNH327682:DNH328690 DXD327682:DXD328690 EGZ327682:EGZ328690 EQV327682:EQV328690 FAR327682:FAR328690 FKN327682:FKN328690 FUJ327682:FUJ328690 GEF327682:GEF328690 GOB327682:GOB328690 GXX327682:GXX328690 HHT327682:HHT328690 HRP327682:HRP328690 IBL327682:IBL328690 ILH327682:ILH328690 IVD327682:IVD328690 JEZ327682:JEZ328690 JOV327682:JOV328690 JYR327682:JYR328690 KIN327682:KIN328690 KSJ327682:KSJ328690 LCF327682:LCF328690 LMB327682:LMB328690 LVX327682:LVX328690 MFT327682:MFT328690 MPP327682:MPP328690 MZL327682:MZL328690 NJH327682:NJH328690 NTD327682:NTD328690 OCZ327682:OCZ328690 OMV327682:OMV328690 OWR327682:OWR328690 PGN327682:PGN328690 PQJ327682:PQJ328690 QAF327682:QAF328690 QKB327682:QKB328690 QTX327682:QTX328690 RDT327682:RDT328690 RNP327682:RNP328690 RXL327682:RXL328690 SHH327682:SHH328690 SRD327682:SRD328690 TAZ327682:TAZ328690 TKV327682:TKV328690 TUR327682:TUR328690 UEN327682:UEN328690 UOJ327682:UOJ328690 UYF327682:UYF328690 VIB327682:VIB328690 VRX327682:VRX328690 WBT327682:WBT328690 WLP327682:WLP328690 WVL327682:WVL328690 D393218:D394226 IZ393218:IZ394226 SV393218:SV394226 ACR393218:ACR394226 AMN393218:AMN394226 AWJ393218:AWJ394226 BGF393218:BGF394226 BQB393218:BQB394226 BZX393218:BZX394226 CJT393218:CJT394226 CTP393218:CTP394226 DDL393218:DDL394226 DNH393218:DNH394226 DXD393218:DXD394226 EGZ393218:EGZ394226 EQV393218:EQV394226 FAR393218:FAR394226 FKN393218:FKN394226 FUJ393218:FUJ394226 GEF393218:GEF394226 GOB393218:GOB394226 GXX393218:GXX394226 HHT393218:HHT394226 HRP393218:HRP394226 IBL393218:IBL394226 ILH393218:ILH394226 IVD393218:IVD394226 JEZ393218:JEZ394226 JOV393218:JOV394226 JYR393218:JYR394226 KIN393218:KIN394226 KSJ393218:KSJ394226 LCF393218:LCF394226 LMB393218:LMB394226 LVX393218:LVX394226 MFT393218:MFT394226 MPP393218:MPP394226 MZL393218:MZL394226 NJH393218:NJH394226 NTD393218:NTD394226 OCZ393218:OCZ394226 OMV393218:OMV394226 OWR393218:OWR394226 PGN393218:PGN394226 PQJ393218:PQJ394226 QAF393218:QAF394226 QKB393218:QKB394226 QTX393218:QTX394226 RDT393218:RDT394226 RNP393218:RNP394226 RXL393218:RXL394226 SHH393218:SHH394226 SRD393218:SRD394226 TAZ393218:TAZ394226 TKV393218:TKV394226 TUR393218:TUR394226 UEN393218:UEN394226 UOJ393218:UOJ394226 UYF393218:UYF394226 VIB393218:VIB394226 VRX393218:VRX394226 WBT393218:WBT394226 WLP393218:WLP394226 WVL393218:WVL394226 D458754:D459762 IZ458754:IZ459762 SV458754:SV459762 ACR458754:ACR459762 AMN458754:AMN459762 AWJ458754:AWJ459762 BGF458754:BGF459762 BQB458754:BQB459762 BZX458754:BZX459762 CJT458754:CJT459762 CTP458754:CTP459762 DDL458754:DDL459762 DNH458754:DNH459762 DXD458754:DXD459762 EGZ458754:EGZ459762 EQV458754:EQV459762 FAR458754:FAR459762 FKN458754:FKN459762 FUJ458754:FUJ459762 GEF458754:GEF459762 GOB458754:GOB459762 GXX458754:GXX459762 HHT458754:HHT459762 HRP458754:HRP459762 IBL458754:IBL459762 ILH458754:ILH459762 IVD458754:IVD459762 JEZ458754:JEZ459762 JOV458754:JOV459762 JYR458754:JYR459762 KIN458754:KIN459762 KSJ458754:KSJ459762 LCF458754:LCF459762 LMB458754:LMB459762 LVX458754:LVX459762 MFT458754:MFT459762 MPP458754:MPP459762 MZL458754:MZL459762 NJH458754:NJH459762 NTD458754:NTD459762 OCZ458754:OCZ459762 OMV458754:OMV459762 OWR458754:OWR459762 PGN458754:PGN459762 PQJ458754:PQJ459762 QAF458754:QAF459762 QKB458754:QKB459762 QTX458754:QTX459762 RDT458754:RDT459762 RNP458754:RNP459762 RXL458754:RXL459762 SHH458754:SHH459762 SRD458754:SRD459762 TAZ458754:TAZ459762 TKV458754:TKV459762 TUR458754:TUR459762 UEN458754:UEN459762 UOJ458754:UOJ459762 UYF458754:UYF459762 VIB458754:VIB459762 VRX458754:VRX459762 WBT458754:WBT459762 WLP458754:WLP459762 WVL458754:WVL459762 D524290:D525298 IZ524290:IZ525298 SV524290:SV525298 ACR524290:ACR525298 AMN524290:AMN525298 AWJ524290:AWJ525298 BGF524290:BGF525298 BQB524290:BQB525298 BZX524290:BZX525298 CJT524290:CJT525298 CTP524290:CTP525298 DDL524290:DDL525298 DNH524290:DNH525298 DXD524290:DXD525298 EGZ524290:EGZ525298 EQV524290:EQV525298 FAR524290:FAR525298 FKN524290:FKN525298 FUJ524290:FUJ525298 GEF524290:GEF525298 GOB524290:GOB525298 GXX524290:GXX525298 HHT524290:HHT525298 HRP524290:HRP525298 IBL524290:IBL525298 ILH524290:ILH525298 IVD524290:IVD525298 JEZ524290:JEZ525298 JOV524290:JOV525298 JYR524290:JYR525298 KIN524290:KIN525298 KSJ524290:KSJ525298 LCF524290:LCF525298 LMB524290:LMB525298 LVX524290:LVX525298 MFT524290:MFT525298 MPP524290:MPP525298 MZL524290:MZL525298 NJH524290:NJH525298 NTD524290:NTD525298 OCZ524290:OCZ525298 OMV524290:OMV525298 OWR524290:OWR525298 PGN524290:PGN525298 PQJ524290:PQJ525298 QAF524290:QAF525298 QKB524290:QKB525298 QTX524290:QTX525298 RDT524290:RDT525298 RNP524290:RNP525298 RXL524290:RXL525298 SHH524290:SHH525298 SRD524290:SRD525298 TAZ524290:TAZ525298 TKV524290:TKV525298 TUR524290:TUR525298 UEN524290:UEN525298 UOJ524290:UOJ525298 UYF524290:UYF525298 VIB524290:VIB525298 VRX524290:VRX525298 WBT524290:WBT525298 WLP524290:WLP525298 WVL524290:WVL525298 D589826:D590834 IZ589826:IZ590834 SV589826:SV590834 ACR589826:ACR590834 AMN589826:AMN590834 AWJ589826:AWJ590834 BGF589826:BGF590834 BQB589826:BQB590834 BZX589826:BZX590834 CJT589826:CJT590834 CTP589826:CTP590834 DDL589826:DDL590834 DNH589826:DNH590834 DXD589826:DXD590834 EGZ589826:EGZ590834 EQV589826:EQV590834 FAR589826:FAR590834 FKN589826:FKN590834 FUJ589826:FUJ590834 GEF589826:GEF590834 GOB589826:GOB590834 GXX589826:GXX590834 HHT589826:HHT590834 HRP589826:HRP590834 IBL589826:IBL590834 ILH589826:ILH590834 IVD589826:IVD590834 JEZ589826:JEZ590834 JOV589826:JOV590834 JYR589826:JYR590834 KIN589826:KIN590834 KSJ589826:KSJ590834 LCF589826:LCF590834 LMB589826:LMB590834 LVX589826:LVX590834 MFT589826:MFT590834 MPP589826:MPP590834 MZL589826:MZL590834 NJH589826:NJH590834 NTD589826:NTD590834 OCZ589826:OCZ590834 OMV589826:OMV590834 OWR589826:OWR590834 PGN589826:PGN590834 PQJ589826:PQJ590834 QAF589826:QAF590834 QKB589826:QKB590834 QTX589826:QTX590834 RDT589826:RDT590834 RNP589826:RNP590834 RXL589826:RXL590834 SHH589826:SHH590834 SRD589826:SRD590834 TAZ589826:TAZ590834 TKV589826:TKV590834 TUR589826:TUR590834 UEN589826:UEN590834 UOJ589826:UOJ590834 UYF589826:UYF590834 VIB589826:VIB590834 VRX589826:VRX590834 WBT589826:WBT590834 WLP589826:WLP590834 WVL589826:WVL590834 D655362:D656370 IZ655362:IZ656370 SV655362:SV656370 ACR655362:ACR656370 AMN655362:AMN656370 AWJ655362:AWJ656370 BGF655362:BGF656370 BQB655362:BQB656370 BZX655362:BZX656370 CJT655362:CJT656370 CTP655362:CTP656370 DDL655362:DDL656370 DNH655362:DNH656370 DXD655362:DXD656370 EGZ655362:EGZ656370 EQV655362:EQV656370 FAR655362:FAR656370 FKN655362:FKN656370 FUJ655362:FUJ656370 GEF655362:GEF656370 GOB655362:GOB656370 GXX655362:GXX656370 HHT655362:HHT656370 HRP655362:HRP656370 IBL655362:IBL656370 ILH655362:ILH656370 IVD655362:IVD656370 JEZ655362:JEZ656370 JOV655362:JOV656370 JYR655362:JYR656370 KIN655362:KIN656370 KSJ655362:KSJ656370 LCF655362:LCF656370 LMB655362:LMB656370 LVX655362:LVX656370 MFT655362:MFT656370 MPP655362:MPP656370 MZL655362:MZL656370 NJH655362:NJH656370 NTD655362:NTD656370 OCZ655362:OCZ656370 OMV655362:OMV656370 OWR655362:OWR656370 PGN655362:PGN656370 PQJ655362:PQJ656370 QAF655362:QAF656370 QKB655362:QKB656370 QTX655362:QTX656370 RDT655362:RDT656370 RNP655362:RNP656370 RXL655362:RXL656370 SHH655362:SHH656370 SRD655362:SRD656370 TAZ655362:TAZ656370 TKV655362:TKV656370 TUR655362:TUR656370 UEN655362:UEN656370 UOJ655362:UOJ656370 UYF655362:UYF656370 VIB655362:VIB656370 VRX655362:VRX656370 WBT655362:WBT656370 WLP655362:WLP656370 WVL655362:WVL656370 D720898:D721906 IZ720898:IZ721906 SV720898:SV721906 ACR720898:ACR721906 AMN720898:AMN721906 AWJ720898:AWJ721906 BGF720898:BGF721906 BQB720898:BQB721906 BZX720898:BZX721906 CJT720898:CJT721906 CTP720898:CTP721906 DDL720898:DDL721906 DNH720898:DNH721906 DXD720898:DXD721906 EGZ720898:EGZ721906 EQV720898:EQV721906 FAR720898:FAR721906 FKN720898:FKN721906 FUJ720898:FUJ721906 GEF720898:GEF721906 GOB720898:GOB721906 GXX720898:GXX721906 HHT720898:HHT721906 HRP720898:HRP721906 IBL720898:IBL721906 ILH720898:ILH721906 IVD720898:IVD721906 JEZ720898:JEZ721906 JOV720898:JOV721906 JYR720898:JYR721906 KIN720898:KIN721906 KSJ720898:KSJ721906 LCF720898:LCF721906 LMB720898:LMB721906 LVX720898:LVX721906 MFT720898:MFT721906 MPP720898:MPP721906 MZL720898:MZL721906 NJH720898:NJH721906 NTD720898:NTD721906 OCZ720898:OCZ721906 OMV720898:OMV721906 OWR720898:OWR721906 PGN720898:PGN721906 PQJ720898:PQJ721906 QAF720898:QAF721906 QKB720898:QKB721906 QTX720898:QTX721906 RDT720898:RDT721906 RNP720898:RNP721906 RXL720898:RXL721906 SHH720898:SHH721906 SRD720898:SRD721906 TAZ720898:TAZ721906 TKV720898:TKV721906 TUR720898:TUR721906 UEN720898:UEN721906 UOJ720898:UOJ721906 UYF720898:UYF721906 VIB720898:VIB721906 VRX720898:VRX721906 WBT720898:WBT721906 WLP720898:WLP721906 WVL720898:WVL721906 D786434:D787442 IZ786434:IZ787442 SV786434:SV787442 ACR786434:ACR787442 AMN786434:AMN787442 AWJ786434:AWJ787442 BGF786434:BGF787442 BQB786434:BQB787442 BZX786434:BZX787442 CJT786434:CJT787442 CTP786434:CTP787442 DDL786434:DDL787442 DNH786434:DNH787442 DXD786434:DXD787442 EGZ786434:EGZ787442 EQV786434:EQV787442 FAR786434:FAR787442 FKN786434:FKN787442 FUJ786434:FUJ787442 GEF786434:GEF787442 GOB786434:GOB787442 GXX786434:GXX787442 HHT786434:HHT787442 HRP786434:HRP787442 IBL786434:IBL787442 ILH786434:ILH787442 IVD786434:IVD787442 JEZ786434:JEZ787442 JOV786434:JOV787442 JYR786434:JYR787442 KIN786434:KIN787442 KSJ786434:KSJ787442 LCF786434:LCF787442 LMB786434:LMB787442 LVX786434:LVX787442 MFT786434:MFT787442 MPP786434:MPP787442 MZL786434:MZL787442 NJH786434:NJH787442 NTD786434:NTD787442 OCZ786434:OCZ787442 OMV786434:OMV787442 OWR786434:OWR787442 PGN786434:PGN787442 PQJ786434:PQJ787442 QAF786434:QAF787442 QKB786434:QKB787442 QTX786434:QTX787442 RDT786434:RDT787442 RNP786434:RNP787442 RXL786434:RXL787442 SHH786434:SHH787442 SRD786434:SRD787442 TAZ786434:TAZ787442 TKV786434:TKV787442 TUR786434:TUR787442 UEN786434:UEN787442 UOJ786434:UOJ787442 UYF786434:UYF787442 VIB786434:VIB787442 VRX786434:VRX787442 WBT786434:WBT787442 WLP786434:WLP787442 WVL786434:WVL787442 D851970:D852978 IZ851970:IZ852978 SV851970:SV852978 ACR851970:ACR852978 AMN851970:AMN852978 AWJ851970:AWJ852978 BGF851970:BGF852978 BQB851970:BQB852978 BZX851970:BZX852978 CJT851970:CJT852978 CTP851970:CTP852978 DDL851970:DDL852978 DNH851970:DNH852978 DXD851970:DXD852978 EGZ851970:EGZ852978 EQV851970:EQV852978 FAR851970:FAR852978 FKN851970:FKN852978 FUJ851970:FUJ852978 GEF851970:GEF852978 GOB851970:GOB852978 GXX851970:GXX852978 HHT851970:HHT852978 HRP851970:HRP852978 IBL851970:IBL852978 ILH851970:ILH852978 IVD851970:IVD852978 JEZ851970:JEZ852978 JOV851970:JOV852978 JYR851970:JYR852978 KIN851970:KIN852978 KSJ851970:KSJ852978 LCF851970:LCF852978 LMB851970:LMB852978 LVX851970:LVX852978 MFT851970:MFT852978 MPP851970:MPP852978 MZL851970:MZL852978 NJH851970:NJH852978 NTD851970:NTD852978 OCZ851970:OCZ852978 OMV851970:OMV852978 OWR851970:OWR852978 PGN851970:PGN852978 PQJ851970:PQJ852978 QAF851970:QAF852978 QKB851970:QKB852978 QTX851970:QTX852978 RDT851970:RDT852978 RNP851970:RNP852978 RXL851970:RXL852978 SHH851970:SHH852978 SRD851970:SRD852978 TAZ851970:TAZ852978 TKV851970:TKV852978 TUR851970:TUR852978 UEN851970:UEN852978 UOJ851970:UOJ852978 UYF851970:UYF852978 VIB851970:VIB852978 VRX851970:VRX852978 WBT851970:WBT852978 WLP851970:WLP852978 WVL851970:WVL852978 D917506:D918514 IZ917506:IZ918514 SV917506:SV918514 ACR917506:ACR918514 AMN917506:AMN918514 AWJ917506:AWJ918514 BGF917506:BGF918514 BQB917506:BQB918514 BZX917506:BZX918514 CJT917506:CJT918514 CTP917506:CTP918514 DDL917506:DDL918514 DNH917506:DNH918514 DXD917506:DXD918514 EGZ917506:EGZ918514 EQV917506:EQV918514 FAR917506:FAR918514 FKN917506:FKN918514 FUJ917506:FUJ918514 GEF917506:GEF918514 GOB917506:GOB918514 GXX917506:GXX918514 HHT917506:HHT918514 HRP917506:HRP918514 IBL917506:IBL918514 ILH917506:ILH918514 IVD917506:IVD918514 JEZ917506:JEZ918514 JOV917506:JOV918514 JYR917506:JYR918514 KIN917506:KIN918514 KSJ917506:KSJ918514 LCF917506:LCF918514 LMB917506:LMB918514 LVX917506:LVX918514 MFT917506:MFT918514 MPP917506:MPP918514 MZL917506:MZL918514 NJH917506:NJH918514 NTD917506:NTD918514 OCZ917506:OCZ918514 OMV917506:OMV918514 OWR917506:OWR918514 PGN917506:PGN918514 PQJ917506:PQJ918514 QAF917506:QAF918514 QKB917506:QKB918514 QTX917506:QTX918514 RDT917506:RDT918514 RNP917506:RNP918514 RXL917506:RXL918514 SHH917506:SHH918514 SRD917506:SRD918514 TAZ917506:TAZ918514 TKV917506:TKV918514 TUR917506:TUR918514 UEN917506:UEN918514 UOJ917506:UOJ918514 UYF917506:UYF918514 VIB917506:VIB918514 VRX917506:VRX918514 WBT917506:WBT918514 WLP917506:WLP918514 WVL917506:WVL918514 D983042:D984050 IZ983042:IZ984050 SV983042:SV984050 ACR983042:ACR984050 AMN983042:AMN984050 AWJ983042:AWJ984050 BGF983042:BGF984050 BQB983042:BQB984050 BZX983042:BZX984050 CJT983042:CJT984050 CTP983042:CTP984050 DDL983042:DDL984050 DNH983042:DNH984050 DXD983042:DXD984050 EGZ983042:EGZ984050 EQV983042:EQV984050 FAR983042:FAR984050 FKN983042:FKN984050 FUJ983042:FUJ984050 GEF983042:GEF984050 GOB983042:GOB984050 GXX983042:GXX984050 HHT983042:HHT984050 HRP983042:HRP984050 IBL983042:IBL984050 ILH983042:ILH984050 IVD983042:IVD984050 JEZ983042:JEZ984050 JOV983042:JOV984050 JYR983042:JYR984050 KIN983042:KIN984050 KSJ983042:KSJ984050 LCF983042:LCF984050 LMB983042:LMB984050 LVX983042:LVX984050 MFT983042:MFT984050 MPP983042:MPP984050 MZL983042:MZL984050 NJH983042:NJH984050 NTD983042:NTD984050 OCZ983042:OCZ984050 OMV983042:OMV984050 OWR983042:OWR984050 PGN983042:PGN984050 PQJ983042:PQJ984050 QAF983042:QAF984050 QKB983042:QKB984050 QTX983042:QTX984050 RDT983042:RDT984050 RNP983042:RNP984050 RXL983042:RXL984050 SHH983042:SHH984050 SRD983042:SRD984050 TAZ983042:TAZ984050 TKV983042:TKV984050 TUR983042:TUR984050 UEN983042:UEN984050 UOJ983042:UOJ984050 UYF983042:UYF984050 VIB983042:VIB984050 VRX983042:VRX984050 WBT983042:WBT984050 WLP983042:WLP984050 WVL983042:WVL984050">
      <formula1>Color_Type</formula1>
    </dataValidation>
    <dataValidation type="custom" allowBlank="1" showInputMessage="1" showErrorMessage="1" sqref="L2:L1232 JH2:JH1232 TD2:TD1232 ACZ2:ACZ1232 AMV2:AMV1232 AWR2:AWR1232 BGN2:BGN1232 BQJ2:BQJ1232 CAF2:CAF1232 CKB2:CKB1232 CTX2:CTX1232 DDT2:DDT1232 DNP2:DNP1232 DXL2:DXL1232 EHH2:EHH1232 ERD2:ERD1232 FAZ2:FAZ1232 FKV2:FKV1232 FUR2:FUR1232 GEN2:GEN1232 GOJ2:GOJ1232 GYF2:GYF1232 HIB2:HIB1232 HRX2:HRX1232 IBT2:IBT1232 ILP2:ILP1232 IVL2:IVL1232 JFH2:JFH1232 JPD2:JPD1232 JYZ2:JYZ1232 KIV2:KIV1232 KSR2:KSR1232 LCN2:LCN1232 LMJ2:LMJ1232 LWF2:LWF1232 MGB2:MGB1232 MPX2:MPX1232 MZT2:MZT1232 NJP2:NJP1232 NTL2:NTL1232 ODH2:ODH1232 OND2:OND1232 OWZ2:OWZ1232 PGV2:PGV1232 PQR2:PQR1232 QAN2:QAN1232 QKJ2:QKJ1232 QUF2:QUF1232 REB2:REB1232 RNX2:RNX1232 RXT2:RXT1232 SHP2:SHP1232 SRL2:SRL1232 TBH2:TBH1232 TLD2:TLD1232 TUZ2:TUZ1232 UEV2:UEV1232 UOR2:UOR1232 UYN2:UYN1232 VIJ2:VIJ1232 VSF2:VSF1232 WCB2:WCB1232 WLX2:WLX1232 WVT2:WVT1232 L65538:L66768 JH65538:JH66768 TD65538:TD66768 ACZ65538:ACZ66768 AMV65538:AMV66768 AWR65538:AWR66768 BGN65538:BGN66768 BQJ65538:BQJ66768 CAF65538:CAF66768 CKB65538:CKB66768 CTX65538:CTX66768 DDT65538:DDT66768 DNP65538:DNP66768 DXL65538:DXL66768 EHH65538:EHH66768 ERD65538:ERD66768 FAZ65538:FAZ66768 FKV65538:FKV66768 FUR65538:FUR66768 GEN65538:GEN66768 GOJ65538:GOJ66768 GYF65538:GYF66768 HIB65538:HIB66768 HRX65538:HRX66768 IBT65538:IBT66768 ILP65538:ILP66768 IVL65538:IVL66768 JFH65538:JFH66768 JPD65538:JPD66768 JYZ65538:JYZ66768 KIV65538:KIV66768 KSR65538:KSR66768 LCN65538:LCN66768 LMJ65538:LMJ66768 LWF65538:LWF66768 MGB65538:MGB66768 MPX65538:MPX66768 MZT65538:MZT66768 NJP65538:NJP66768 NTL65538:NTL66768 ODH65538:ODH66768 OND65538:OND66768 OWZ65538:OWZ66768 PGV65538:PGV66768 PQR65538:PQR66768 QAN65538:QAN66768 QKJ65538:QKJ66768 QUF65538:QUF66768 REB65538:REB66768 RNX65538:RNX66768 RXT65538:RXT66768 SHP65538:SHP66768 SRL65538:SRL66768 TBH65538:TBH66768 TLD65538:TLD66768 TUZ65538:TUZ66768 UEV65538:UEV66768 UOR65538:UOR66768 UYN65538:UYN66768 VIJ65538:VIJ66768 VSF65538:VSF66768 WCB65538:WCB66768 WLX65538:WLX66768 WVT65538:WVT66768 L131074:L132304 JH131074:JH132304 TD131074:TD132304 ACZ131074:ACZ132304 AMV131074:AMV132304 AWR131074:AWR132304 BGN131074:BGN132304 BQJ131074:BQJ132304 CAF131074:CAF132304 CKB131074:CKB132304 CTX131074:CTX132304 DDT131074:DDT132304 DNP131074:DNP132304 DXL131074:DXL132304 EHH131074:EHH132304 ERD131074:ERD132304 FAZ131074:FAZ132304 FKV131074:FKV132304 FUR131074:FUR132304 GEN131074:GEN132304 GOJ131074:GOJ132304 GYF131074:GYF132304 HIB131074:HIB132304 HRX131074:HRX132304 IBT131074:IBT132304 ILP131074:ILP132304 IVL131074:IVL132304 JFH131074:JFH132304 JPD131074:JPD132304 JYZ131074:JYZ132304 KIV131074:KIV132304 KSR131074:KSR132304 LCN131074:LCN132304 LMJ131074:LMJ132304 LWF131074:LWF132304 MGB131074:MGB132304 MPX131074:MPX132304 MZT131074:MZT132304 NJP131074:NJP132304 NTL131074:NTL132304 ODH131074:ODH132304 OND131074:OND132304 OWZ131074:OWZ132304 PGV131074:PGV132304 PQR131074:PQR132304 QAN131074:QAN132304 QKJ131074:QKJ132304 QUF131074:QUF132304 REB131074:REB132304 RNX131074:RNX132304 RXT131074:RXT132304 SHP131074:SHP132304 SRL131074:SRL132304 TBH131074:TBH132304 TLD131074:TLD132304 TUZ131074:TUZ132304 UEV131074:UEV132304 UOR131074:UOR132304 UYN131074:UYN132304 VIJ131074:VIJ132304 VSF131074:VSF132304 WCB131074:WCB132304 WLX131074:WLX132304 WVT131074:WVT132304 L196610:L197840 JH196610:JH197840 TD196610:TD197840 ACZ196610:ACZ197840 AMV196610:AMV197840 AWR196610:AWR197840 BGN196610:BGN197840 BQJ196610:BQJ197840 CAF196610:CAF197840 CKB196610:CKB197840 CTX196610:CTX197840 DDT196610:DDT197840 DNP196610:DNP197840 DXL196610:DXL197840 EHH196610:EHH197840 ERD196610:ERD197840 FAZ196610:FAZ197840 FKV196610:FKV197840 FUR196610:FUR197840 GEN196610:GEN197840 GOJ196610:GOJ197840 GYF196610:GYF197840 HIB196610:HIB197840 HRX196610:HRX197840 IBT196610:IBT197840 ILP196610:ILP197840 IVL196610:IVL197840 JFH196610:JFH197840 JPD196610:JPD197840 JYZ196610:JYZ197840 KIV196610:KIV197840 KSR196610:KSR197840 LCN196610:LCN197840 LMJ196610:LMJ197840 LWF196610:LWF197840 MGB196610:MGB197840 MPX196610:MPX197840 MZT196610:MZT197840 NJP196610:NJP197840 NTL196610:NTL197840 ODH196610:ODH197840 OND196610:OND197840 OWZ196610:OWZ197840 PGV196610:PGV197840 PQR196610:PQR197840 QAN196610:QAN197840 QKJ196610:QKJ197840 QUF196610:QUF197840 REB196610:REB197840 RNX196610:RNX197840 RXT196610:RXT197840 SHP196610:SHP197840 SRL196610:SRL197840 TBH196610:TBH197840 TLD196610:TLD197840 TUZ196610:TUZ197840 UEV196610:UEV197840 UOR196610:UOR197840 UYN196610:UYN197840 VIJ196610:VIJ197840 VSF196610:VSF197840 WCB196610:WCB197840 WLX196610:WLX197840 WVT196610:WVT197840 L262146:L263376 JH262146:JH263376 TD262146:TD263376 ACZ262146:ACZ263376 AMV262146:AMV263376 AWR262146:AWR263376 BGN262146:BGN263376 BQJ262146:BQJ263376 CAF262146:CAF263376 CKB262146:CKB263376 CTX262146:CTX263376 DDT262146:DDT263376 DNP262146:DNP263376 DXL262146:DXL263376 EHH262146:EHH263376 ERD262146:ERD263376 FAZ262146:FAZ263376 FKV262146:FKV263376 FUR262146:FUR263376 GEN262146:GEN263376 GOJ262146:GOJ263376 GYF262146:GYF263376 HIB262146:HIB263376 HRX262146:HRX263376 IBT262146:IBT263376 ILP262146:ILP263376 IVL262146:IVL263376 JFH262146:JFH263376 JPD262146:JPD263376 JYZ262146:JYZ263376 KIV262146:KIV263376 KSR262146:KSR263376 LCN262146:LCN263376 LMJ262146:LMJ263376 LWF262146:LWF263376 MGB262146:MGB263376 MPX262146:MPX263376 MZT262146:MZT263376 NJP262146:NJP263376 NTL262146:NTL263376 ODH262146:ODH263376 OND262146:OND263376 OWZ262146:OWZ263376 PGV262146:PGV263376 PQR262146:PQR263376 QAN262146:QAN263376 QKJ262146:QKJ263376 QUF262146:QUF263376 REB262146:REB263376 RNX262146:RNX263376 RXT262146:RXT263376 SHP262146:SHP263376 SRL262146:SRL263376 TBH262146:TBH263376 TLD262146:TLD263376 TUZ262146:TUZ263376 UEV262146:UEV263376 UOR262146:UOR263376 UYN262146:UYN263376 VIJ262146:VIJ263376 VSF262146:VSF263376 WCB262146:WCB263376 WLX262146:WLX263376 WVT262146:WVT263376 L327682:L328912 JH327682:JH328912 TD327682:TD328912 ACZ327682:ACZ328912 AMV327682:AMV328912 AWR327682:AWR328912 BGN327682:BGN328912 BQJ327682:BQJ328912 CAF327682:CAF328912 CKB327682:CKB328912 CTX327682:CTX328912 DDT327682:DDT328912 DNP327682:DNP328912 DXL327682:DXL328912 EHH327682:EHH328912 ERD327682:ERD328912 FAZ327682:FAZ328912 FKV327682:FKV328912 FUR327682:FUR328912 GEN327682:GEN328912 GOJ327682:GOJ328912 GYF327682:GYF328912 HIB327682:HIB328912 HRX327682:HRX328912 IBT327682:IBT328912 ILP327682:ILP328912 IVL327682:IVL328912 JFH327682:JFH328912 JPD327682:JPD328912 JYZ327682:JYZ328912 KIV327682:KIV328912 KSR327682:KSR328912 LCN327682:LCN328912 LMJ327682:LMJ328912 LWF327682:LWF328912 MGB327682:MGB328912 MPX327682:MPX328912 MZT327682:MZT328912 NJP327682:NJP328912 NTL327682:NTL328912 ODH327682:ODH328912 OND327682:OND328912 OWZ327682:OWZ328912 PGV327682:PGV328912 PQR327682:PQR328912 QAN327682:QAN328912 QKJ327682:QKJ328912 QUF327682:QUF328912 REB327682:REB328912 RNX327682:RNX328912 RXT327682:RXT328912 SHP327682:SHP328912 SRL327682:SRL328912 TBH327682:TBH328912 TLD327682:TLD328912 TUZ327682:TUZ328912 UEV327682:UEV328912 UOR327682:UOR328912 UYN327682:UYN328912 VIJ327682:VIJ328912 VSF327682:VSF328912 WCB327682:WCB328912 WLX327682:WLX328912 WVT327682:WVT328912 L393218:L394448 JH393218:JH394448 TD393218:TD394448 ACZ393218:ACZ394448 AMV393218:AMV394448 AWR393218:AWR394448 BGN393218:BGN394448 BQJ393218:BQJ394448 CAF393218:CAF394448 CKB393218:CKB394448 CTX393218:CTX394448 DDT393218:DDT394448 DNP393218:DNP394448 DXL393218:DXL394448 EHH393218:EHH394448 ERD393218:ERD394448 FAZ393218:FAZ394448 FKV393218:FKV394448 FUR393218:FUR394448 GEN393218:GEN394448 GOJ393218:GOJ394448 GYF393218:GYF394448 HIB393218:HIB394448 HRX393218:HRX394448 IBT393218:IBT394448 ILP393218:ILP394448 IVL393218:IVL394448 JFH393218:JFH394448 JPD393218:JPD394448 JYZ393218:JYZ394448 KIV393218:KIV394448 KSR393218:KSR394448 LCN393218:LCN394448 LMJ393218:LMJ394448 LWF393218:LWF394448 MGB393218:MGB394448 MPX393218:MPX394448 MZT393218:MZT394448 NJP393218:NJP394448 NTL393218:NTL394448 ODH393218:ODH394448 OND393218:OND394448 OWZ393218:OWZ394448 PGV393218:PGV394448 PQR393218:PQR394448 QAN393218:QAN394448 QKJ393218:QKJ394448 QUF393218:QUF394448 REB393218:REB394448 RNX393218:RNX394448 RXT393218:RXT394448 SHP393218:SHP394448 SRL393218:SRL394448 TBH393218:TBH394448 TLD393218:TLD394448 TUZ393218:TUZ394448 UEV393218:UEV394448 UOR393218:UOR394448 UYN393218:UYN394448 VIJ393218:VIJ394448 VSF393218:VSF394448 WCB393218:WCB394448 WLX393218:WLX394448 WVT393218:WVT394448 L458754:L459984 JH458754:JH459984 TD458754:TD459984 ACZ458754:ACZ459984 AMV458754:AMV459984 AWR458754:AWR459984 BGN458754:BGN459984 BQJ458754:BQJ459984 CAF458754:CAF459984 CKB458754:CKB459984 CTX458754:CTX459984 DDT458754:DDT459984 DNP458754:DNP459984 DXL458754:DXL459984 EHH458754:EHH459984 ERD458754:ERD459984 FAZ458754:FAZ459984 FKV458754:FKV459984 FUR458754:FUR459984 GEN458754:GEN459984 GOJ458754:GOJ459984 GYF458754:GYF459984 HIB458754:HIB459984 HRX458754:HRX459984 IBT458754:IBT459984 ILP458754:ILP459984 IVL458754:IVL459984 JFH458754:JFH459984 JPD458754:JPD459984 JYZ458754:JYZ459984 KIV458754:KIV459984 KSR458754:KSR459984 LCN458754:LCN459984 LMJ458754:LMJ459984 LWF458754:LWF459984 MGB458754:MGB459984 MPX458754:MPX459984 MZT458754:MZT459984 NJP458754:NJP459984 NTL458754:NTL459984 ODH458754:ODH459984 OND458754:OND459984 OWZ458754:OWZ459984 PGV458754:PGV459984 PQR458754:PQR459984 QAN458754:QAN459984 QKJ458754:QKJ459984 QUF458754:QUF459984 REB458754:REB459984 RNX458754:RNX459984 RXT458754:RXT459984 SHP458754:SHP459984 SRL458754:SRL459984 TBH458754:TBH459984 TLD458754:TLD459984 TUZ458754:TUZ459984 UEV458754:UEV459984 UOR458754:UOR459984 UYN458754:UYN459984 VIJ458754:VIJ459984 VSF458754:VSF459984 WCB458754:WCB459984 WLX458754:WLX459984 WVT458754:WVT459984 L524290:L525520 JH524290:JH525520 TD524290:TD525520 ACZ524290:ACZ525520 AMV524290:AMV525520 AWR524290:AWR525520 BGN524290:BGN525520 BQJ524290:BQJ525520 CAF524290:CAF525520 CKB524290:CKB525520 CTX524290:CTX525520 DDT524290:DDT525520 DNP524290:DNP525520 DXL524290:DXL525520 EHH524290:EHH525520 ERD524290:ERD525520 FAZ524290:FAZ525520 FKV524290:FKV525520 FUR524290:FUR525520 GEN524290:GEN525520 GOJ524290:GOJ525520 GYF524290:GYF525520 HIB524290:HIB525520 HRX524290:HRX525520 IBT524290:IBT525520 ILP524290:ILP525520 IVL524290:IVL525520 JFH524290:JFH525520 JPD524290:JPD525520 JYZ524290:JYZ525520 KIV524290:KIV525520 KSR524290:KSR525520 LCN524290:LCN525520 LMJ524290:LMJ525520 LWF524290:LWF525520 MGB524290:MGB525520 MPX524290:MPX525520 MZT524290:MZT525520 NJP524290:NJP525520 NTL524290:NTL525520 ODH524290:ODH525520 OND524290:OND525520 OWZ524290:OWZ525520 PGV524290:PGV525520 PQR524290:PQR525520 QAN524290:QAN525520 QKJ524290:QKJ525520 QUF524290:QUF525520 REB524290:REB525520 RNX524290:RNX525520 RXT524290:RXT525520 SHP524290:SHP525520 SRL524290:SRL525520 TBH524290:TBH525520 TLD524290:TLD525520 TUZ524290:TUZ525520 UEV524290:UEV525520 UOR524290:UOR525520 UYN524290:UYN525520 VIJ524290:VIJ525520 VSF524290:VSF525520 WCB524290:WCB525520 WLX524290:WLX525520 WVT524290:WVT525520 L589826:L591056 JH589826:JH591056 TD589826:TD591056 ACZ589826:ACZ591056 AMV589826:AMV591056 AWR589826:AWR591056 BGN589826:BGN591056 BQJ589826:BQJ591056 CAF589826:CAF591056 CKB589826:CKB591056 CTX589826:CTX591056 DDT589826:DDT591056 DNP589826:DNP591056 DXL589826:DXL591056 EHH589826:EHH591056 ERD589826:ERD591056 FAZ589826:FAZ591056 FKV589826:FKV591056 FUR589826:FUR591056 GEN589826:GEN591056 GOJ589826:GOJ591056 GYF589826:GYF591056 HIB589826:HIB591056 HRX589826:HRX591056 IBT589826:IBT591056 ILP589826:ILP591056 IVL589826:IVL591056 JFH589826:JFH591056 JPD589826:JPD591056 JYZ589826:JYZ591056 KIV589826:KIV591056 KSR589826:KSR591056 LCN589826:LCN591056 LMJ589826:LMJ591056 LWF589826:LWF591056 MGB589826:MGB591056 MPX589826:MPX591056 MZT589826:MZT591056 NJP589826:NJP591056 NTL589826:NTL591056 ODH589826:ODH591056 OND589826:OND591056 OWZ589826:OWZ591056 PGV589826:PGV591056 PQR589826:PQR591056 QAN589826:QAN591056 QKJ589826:QKJ591056 QUF589826:QUF591056 REB589826:REB591056 RNX589826:RNX591056 RXT589826:RXT591056 SHP589826:SHP591056 SRL589826:SRL591056 TBH589826:TBH591056 TLD589826:TLD591056 TUZ589826:TUZ591056 UEV589826:UEV591056 UOR589826:UOR591056 UYN589826:UYN591056 VIJ589826:VIJ591056 VSF589826:VSF591056 WCB589826:WCB591056 WLX589826:WLX591056 WVT589826:WVT591056 L655362:L656592 JH655362:JH656592 TD655362:TD656592 ACZ655362:ACZ656592 AMV655362:AMV656592 AWR655362:AWR656592 BGN655362:BGN656592 BQJ655362:BQJ656592 CAF655362:CAF656592 CKB655362:CKB656592 CTX655362:CTX656592 DDT655362:DDT656592 DNP655362:DNP656592 DXL655362:DXL656592 EHH655362:EHH656592 ERD655362:ERD656592 FAZ655362:FAZ656592 FKV655362:FKV656592 FUR655362:FUR656592 GEN655362:GEN656592 GOJ655362:GOJ656592 GYF655362:GYF656592 HIB655362:HIB656592 HRX655362:HRX656592 IBT655362:IBT656592 ILP655362:ILP656592 IVL655362:IVL656592 JFH655362:JFH656592 JPD655362:JPD656592 JYZ655362:JYZ656592 KIV655362:KIV656592 KSR655362:KSR656592 LCN655362:LCN656592 LMJ655362:LMJ656592 LWF655362:LWF656592 MGB655362:MGB656592 MPX655362:MPX656592 MZT655362:MZT656592 NJP655362:NJP656592 NTL655362:NTL656592 ODH655362:ODH656592 OND655362:OND656592 OWZ655362:OWZ656592 PGV655362:PGV656592 PQR655362:PQR656592 QAN655362:QAN656592 QKJ655362:QKJ656592 QUF655362:QUF656592 REB655362:REB656592 RNX655362:RNX656592 RXT655362:RXT656592 SHP655362:SHP656592 SRL655362:SRL656592 TBH655362:TBH656592 TLD655362:TLD656592 TUZ655362:TUZ656592 UEV655362:UEV656592 UOR655362:UOR656592 UYN655362:UYN656592 VIJ655362:VIJ656592 VSF655362:VSF656592 WCB655362:WCB656592 WLX655362:WLX656592 WVT655362:WVT656592 L720898:L722128 JH720898:JH722128 TD720898:TD722128 ACZ720898:ACZ722128 AMV720898:AMV722128 AWR720898:AWR722128 BGN720898:BGN722128 BQJ720898:BQJ722128 CAF720898:CAF722128 CKB720898:CKB722128 CTX720898:CTX722128 DDT720898:DDT722128 DNP720898:DNP722128 DXL720898:DXL722128 EHH720898:EHH722128 ERD720898:ERD722128 FAZ720898:FAZ722128 FKV720898:FKV722128 FUR720898:FUR722128 GEN720898:GEN722128 GOJ720898:GOJ722128 GYF720898:GYF722128 HIB720898:HIB722128 HRX720898:HRX722128 IBT720898:IBT722128 ILP720898:ILP722128 IVL720898:IVL722128 JFH720898:JFH722128 JPD720898:JPD722128 JYZ720898:JYZ722128 KIV720898:KIV722128 KSR720898:KSR722128 LCN720898:LCN722128 LMJ720898:LMJ722128 LWF720898:LWF722128 MGB720898:MGB722128 MPX720898:MPX722128 MZT720898:MZT722128 NJP720898:NJP722128 NTL720898:NTL722128 ODH720898:ODH722128 OND720898:OND722128 OWZ720898:OWZ722128 PGV720898:PGV722128 PQR720898:PQR722128 QAN720898:QAN722128 QKJ720898:QKJ722128 QUF720898:QUF722128 REB720898:REB722128 RNX720898:RNX722128 RXT720898:RXT722128 SHP720898:SHP722128 SRL720898:SRL722128 TBH720898:TBH722128 TLD720898:TLD722128 TUZ720898:TUZ722128 UEV720898:UEV722128 UOR720898:UOR722128 UYN720898:UYN722128 VIJ720898:VIJ722128 VSF720898:VSF722128 WCB720898:WCB722128 WLX720898:WLX722128 WVT720898:WVT722128 L786434:L787664 JH786434:JH787664 TD786434:TD787664 ACZ786434:ACZ787664 AMV786434:AMV787664 AWR786434:AWR787664 BGN786434:BGN787664 BQJ786434:BQJ787664 CAF786434:CAF787664 CKB786434:CKB787664 CTX786434:CTX787664 DDT786434:DDT787664 DNP786434:DNP787664 DXL786434:DXL787664 EHH786434:EHH787664 ERD786434:ERD787664 FAZ786434:FAZ787664 FKV786434:FKV787664 FUR786434:FUR787664 GEN786434:GEN787664 GOJ786434:GOJ787664 GYF786434:GYF787664 HIB786434:HIB787664 HRX786434:HRX787664 IBT786434:IBT787664 ILP786434:ILP787664 IVL786434:IVL787664 JFH786434:JFH787664 JPD786434:JPD787664 JYZ786434:JYZ787664 KIV786434:KIV787664 KSR786434:KSR787664 LCN786434:LCN787664 LMJ786434:LMJ787664 LWF786434:LWF787664 MGB786434:MGB787664 MPX786434:MPX787664 MZT786434:MZT787664 NJP786434:NJP787664 NTL786434:NTL787664 ODH786434:ODH787664 OND786434:OND787664 OWZ786434:OWZ787664 PGV786434:PGV787664 PQR786434:PQR787664 QAN786434:QAN787664 QKJ786434:QKJ787664 QUF786434:QUF787664 REB786434:REB787664 RNX786434:RNX787664 RXT786434:RXT787664 SHP786434:SHP787664 SRL786434:SRL787664 TBH786434:TBH787664 TLD786434:TLD787664 TUZ786434:TUZ787664 UEV786434:UEV787664 UOR786434:UOR787664 UYN786434:UYN787664 VIJ786434:VIJ787664 VSF786434:VSF787664 WCB786434:WCB787664 WLX786434:WLX787664 WVT786434:WVT787664 L851970:L853200 JH851970:JH853200 TD851970:TD853200 ACZ851970:ACZ853200 AMV851970:AMV853200 AWR851970:AWR853200 BGN851970:BGN853200 BQJ851970:BQJ853200 CAF851970:CAF853200 CKB851970:CKB853200 CTX851970:CTX853200 DDT851970:DDT853200 DNP851970:DNP853200 DXL851970:DXL853200 EHH851970:EHH853200 ERD851970:ERD853200 FAZ851970:FAZ853200 FKV851970:FKV853200 FUR851970:FUR853200 GEN851970:GEN853200 GOJ851970:GOJ853200 GYF851970:GYF853200 HIB851970:HIB853200 HRX851970:HRX853200 IBT851970:IBT853200 ILP851970:ILP853200 IVL851970:IVL853200 JFH851970:JFH853200 JPD851970:JPD853200 JYZ851970:JYZ853200 KIV851970:KIV853200 KSR851970:KSR853200 LCN851970:LCN853200 LMJ851970:LMJ853200 LWF851970:LWF853200 MGB851970:MGB853200 MPX851970:MPX853200 MZT851970:MZT853200 NJP851970:NJP853200 NTL851970:NTL853200 ODH851970:ODH853200 OND851970:OND853200 OWZ851970:OWZ853200 PGV851970:PGV853200 PQR851970:PQR853200 QAN851970:QAN853200 QKJ851970:QKJ853200 QUF851970:QUF853200 REB851970:REB853200 RNX851970:RNX853200 RXT851970:RXT853200 SHP851970:SHP853200 SRL851970:SRL853200 TBH851970:TBH853200 TLD851970:TLD853200 TUZ851970:TUZ853200 UEV851970:UEV853200 UOR851970:UOR853200 UYN851970:UYN853200 VIJ851970:VIJ853200 VSF851970:VSF853200 WCB851970:WCB853200 WLX851970:WLX853200 WVT851970:WVT853200 L917506:L918736 JH917506:JH918736 TD917506:TD918736 ACZ917506:ACZ918736 AMV917506:AMV918736 AWR917506:AWR918736 BGN917506:BGN918736 BQJ917506:BQJ918736 CAF917506:CAF918736 CKB917506:CKB918736 CTX917506:CTX918736 DDT917506:DDT918736 DNP917506:DNP918736 DXL917506:DXL918736 EHH917506:EHH918736 ERD917506:ERD918736 FAZ917506:FAZ918736 FKV917506:FKV918736 FUR917506:FUR918736 GEN917506:GEN918736 GOJ917506:GOJ918736 GYF917506:GYF918736 HIB917506:HIB918736 HRX917506:HRX918736 IBT917506:IBT918736 ILP917506:ILP918736 IVL917506:IVL918736 JFH917506:JFH918736 JPD917506:JPD918736 JYZ917506:JYZ918736 KIV917506:KIV918736 KSR917506:KSR918736 LCN917506:LCN918736 LMJ917506:LMJ918736 LWF917506:LWF918736 MGB917506:MGB918736 MPX917506:MPX918736 MZT917506:MZT918736 NJP917506:NJP918736 NTL917506:NTL918736 ODH917506:ODH918736 OND917506:OND918736 OWZ917506:OWZ918736 PGV917506:PGV918736 PQR917506:PQR918736 QAN917506:QAN918736 QKJ917506:QKJ918736 QUF917506:QUF918736 REB917506:REB918736 RNX917506:RNX918736 RXT917506:RXT918736 SHP917506:SHP918736 SRL917506:SRL918736 TBH917506:TBH918736 TLD917506:TLD918736 TUZ917506:TUZ918736 UEV917506:UEV918736 UOR917506:UOR918736 UYN917506:UYN918736 VIJ917506:VIJ918736 VSF917506:VSF918736 WCB917506:WCB918736 WLX917506:WLX918736 WVT917506:WVT918736 L983042:L984272 JH983042:JH984272 TD983042:TD984272 ACZ983042:ACZ984272 AMV983042:AMV984272 AWR983042:AWR984272 BGN983042:BGN984272 BQJ983042:BQJ984272 CAF983042:CAF984272 CKB983042:CKB984272 CTX983042:CTX984272 DDT983042:DDT984272 DNP983042:DNP984272 DXL983042:DXL984272 EHH983042:EHH984272 ERD983042:ERD984272 FAZ983042:FAZ984272 FKV983042:FKV984272 FUR983042:FUR984272 GEN983042:GEN984272 GOJ983042:GOJ984272 GYF983042:GYF984272 HIB983042:HIB984272 HRX983042:HRX984272 IBT983042:IBT984272 ILP983042:ILP984272 IVL983042:IVL984272 JFH983042:JFH984272 JPD983042:JPD984272 JYZ983042:JYZ984272 KIV983042:KIV984272 KSR983042:KSR984272 LCN983042:LCN984272 LMJ983042:LMJ984272 LWF983042:LWF984272 MGB983042:MGB984272 MPX983042:MPX984272 MZT983042:MZT984272 NJP983042:NJP984272 NTL983042:NTL984272 ODH983042:ODH984272 OND983042:OND984272 OWZ983042:OWZ984272 PGV983042:PGV984272 PQR983042:PQR984272 QAN983042:QAN984272 QKJ983042:QKJ984272 QUF983042:QUF984272 REB983042:REB984272 RNX983042:RNX984272 RXT983042:RXT984272 SHP983042:SHP984272 SRL983042:SRL984272 TBH983042:TBH984272 TLD983042:TLD984272 TUZ983042:TUZ984272 UEV983042:UEV984272 UOR983042:UOR984272 UYN983042:UYN984272 VIJ983042:VIJ984272 VSF983042:VSF984272 WCB983042:WCB984272 WLX983042:WLX984272 WVT983042:WVT984272">
      <formula1>AND(L2/CAM_Cycle &lt;= 255,L2/CAM_Cycle &gt;=0)</formula1>
    </dataValidation>
    <dataValidation type="custom" allowBlank="1" showInputMessage="1" showErrorMessage="1" sqref="N2 JJ2 TF2 ADB2 AMX2 AWT2 BGP2 BQL2 CAH2 CKD2 CTZ2 DDV2 DNR2 DXN2 EHJ2 ERF2 FBB2 FKX2 FUT2 GEP2 GOL2 GYH2 HID2 HRZ2 IBV2 ILR2 IVN2 JFJ2 JPF2 JZB2 KIX2 KST2 LCP2 LML2 LWH2 MGD2 MPZ2 MZV2 NJR2 NTN2 ODJ2 ONF2 OXB2 PGX2 PQT2 QAP2 QKL2 QUH2 RED2 RNZ2 RXV2 SHR2 SRN2 TBJ2 TLF2 TVB2 UEX2 UOT2 UYP2 VIL2 VSH2 WCD2 WLZ2 WVV2 N65538 JJ65538 TF65538 ADB65538 AMX65538 AWT65538 BGP65538 BQL65538 CAH65538 CKD65538 CTZ65538 DDV65538 DNR65538 DXN65538 EHJ65538 ERF65538 FBB65538 FKX65538 FUT65538 GEP65538 GOL65538 GYH65538 HID65538 HRZ65538 IBV65538 ILR65538 IVN65538 JFJ65538 JPF65538 JZB65538 KIX65538 KST65538 LCP65538 LML65538 LWH65538 MGD65538 MPZ65538 MZV65538 NJR65538 NTN65538 ODJ65538 ONF65538 OXB65538 PGX65538 PQT65538 QAP65538 QKL65538 QUH65538 RED65538 RNZ65538 RXV65538 SHR65538 SRN65538 TBJ65538 TLF65538 TVB65538 UEX65538 UOT65538 UYP65538 VIL65538 VSH65538 WCD65538 WLZ65538 WVV65538 N131074 JJ131074 TF131074 ADB131074 AMX131074 AWT131074 BGP131074 BQL131074 CAH131074 CKD131074 CTZ131074 DDV131074 DNR131074 DXN131074 EHJ131074 ERF131074 FBB131074 FKX131074 FUT131074 GEP131074 GOL131074 GYH131074 HID131074 HRZ131074 IBV131074 ILR131074 IVN131074 JFJ131074 JPF131074 JZB131074 KIX131074 KST131074 LCP131074 LML131074 LWH131074 MGD131074 MPZ131074 MZV131074 NJR131074 NTN131074 ODJ131074 ONF131074 OXB131074 PGX131074 PQT131074 QAP131074 QKL131074 QUH131074 RED131074 RNZ131074 RXV131074 SHR131074 SRN131074 TBJ131074 TLF131074 TVB131074 UEX131074 UOT131074 UYP131074 VIL131074 VSH131074 WCD131074 WLZ131074 WVV131074 N196610 JJ196610 TF196610 ADB196610 AMX196610 AWT196610 BGP196610 BQL196610 CAH196610 CKD196610 CTZ196610 DDV196610 DNR196610 DXN196610 EHJ196610 ERF196610 FBB196610 FKX196610 FUT196610 GEP196610 GOL196610 GYH196610 HID196610 HRZ196610 IBV196610 ILR196610 IVN196610 JFJ196610 JPF196610 JZB196610 KIX196610 KST196610 LCP196610 LML196610 LWH196610 MGD196610 MPZ196610 MZV196610 NJR196610 NTN196610 ODJ196610 ONF196610 OXB196610 PGX196610 PQT196610 QAP196610 QKL196610 QUH196610 RED196610 RNZ196610 RXV196610 SHR196610 SRN196610 TBJ196610 TLF196610 TVB196610 UEX196610 UOT196610 UYP196610 VIL196610 VSH196610 WCD196610 WLZ196610 WVV196610 N262146 JJ262146 TF262146 ADB262146 AMX262146 AWT262146 BGP262146 BQL262146 CAH262146 CKD262146 CTZ262146 DDV262146 DNR262146 DXN262146 EHJ262146 ERF262146 FBB262146 FKX262146 FUT262146 GEP262146 GOL262146 GYH262146 HID262146 HRZ262146 IBV262146 ILR262146 IVN262146 JFJ262146 JPF262146 JZB262146 KIX262146 KST262146 LCP262146 LML262146 LWH262146 MGD262146 MPZ262146 MZV262146 NJR262146 NTN262146 ODJ262146 ONF262146 OXB262146 PGX262146 PQT262146 QAP262146 QKL262146 QUH262146 RED262146 RNZ262146 RXV262146 SHR262146 SRN262146 TBJ262146 TLF262146 TVB262146 UEX262146 UOT262146 UYP262146 VIL262146 VSH262146 WCD262146 WLZ262146 WVV262146 N327682 JJ327682 TF327682 ADB327682 AMX327682 AWT327682 BGP327682 BQL327682 CAH327682 CKD327682 CTZ327682 DDV327682 DNR327682 DXN327682 EHJ327682 ERF327682 FBB327682 FKX327682 FUT327682 GEP327682 GOL327682 GYH327682 HID327682 HRZ327682 IBV327682 ILR327682 IVN327682 JFJ327682 JPF327682 JZB327682 KIX327682 KST327682 LCP327682 LML327682 LWH327682 MGD327682 MPZ327682 MZV327682 NJR327682 NTN327682 ODJ327682 ONF327682 OXB327682 PGX327682 PQT327682 QAP327682 QKL327682 QUH327682 RED327682 RNZ327682 RXV327682 SHR327682 SRN327682 TBJ327682 TLF327682 TVB327682 UEX327682 UOT327682 UYP327682 VIL327682 VSH327682 WCD327682 WLZ327682 WVV327682 N393218 JJ393218 TF393218 ADB393218 AMX393218 AWT393218 BGP393218 BQL393218 CAH393218 CKD393218 CTZ393218 DDV393218 DNR393218 DXN393218 EHJ393218 ERF393218 FBB393218 FKX393218 FUT393218 GEP393218 GOL393218 GYH393218 HID393218 HRZ393218 IBV393218 ILR393218 IVN393218 JFJ393218 JPF393218 JZB393218 KIX393218 KST393218 LCP393218 LML393218 LWH393218 MGD393218 MPZ393218 MZV393218 NJR393218 NTN393218 ODJ393218 ONF393218 OXB393218 PGX393218 PQT393218 QAP393218 QKL393218 QUH393218 RED393218 RNZ393218 RXV393218 SHR393218 SRN393218 TBJ393218 TLF393218 TVB393218 UEX393218 UOT393218 UYP393218 VIL393218 VSH393218 WCD393218 WLZ393218 WVV393218 N458754 JJ458754 TF458754 ADB458754 AMX458754 AWT458754 BGP458754 BQL458754 CAH458754 CKD458754 CTZ458754 DDV458754 DNR458754 DXN458754 EHJ458754 ERF458754 FBB458754 FKX458754 FUT458754 GEP458754 GOL458754 GYH458754 HID458754 HRZ458754 IBV458754 ILR458754 IVN458754 JFJ458754 JPF458754 JZB458754 KIX458754 KST458754 LCP458754 LML458754 LWH458754 MGD458754 MPZ458754 MZV458754 NJR458754 NTN458754 ODJ458754 ONF458754 OXB458754 PGX458754 PQT458754 QAP458754 QKL458754 QUH458754 RED458754 RNZ458754 RXV458754 SHR458754 SRN458754 TBJ458754 TLF458754 TVB458754 UEX458754 UOT458754 UYP458754 VIL458754 VSH458754 WCD458754 WLZ458754 WVV458754 N524290 JJ524290 TF524290 ADB524290 AMX524290 AWT524290 BGP524290 BQL524290 CAH524290 CKD524290 CTZ524290 DDV524290 DNR524290 DXN524290 EHJ524290 ERF524290 FBB524290 FKX524290 FUT524290 GEP524290 GOL524290 GYH524290 HID524290 HRZ524290 IBV524290 ILR524290 IVN524290 JFJ524290 JPF524290 JZB524290 KIX524290 KST524290 LCP524290 LML524290 LWH524290 MGD524290 MPZ524290 MZV524290 NJR524290 NTN524290 ODJ524290 ONF524290 OXB524290 PGX524290 PQT524290 QAP524290 QKL524290 QUH524290 RED524290 RNZ524290 RXV524290 SHR524290 SRN524290 TBJ524290 TLF524290 TVB524290 UEX524290 UOT524290 UYP524290 VIL524290 VSH524290 WCD524290 WLZ524290 WVV524290 N589826 JJ589826 TF589826 ADB589826 AMX589826 AWT589826 BGP589826 BQL589826 CAH589826 CKD589826 CTZ589826 DDV589826 DNR589826 DXN589826 EHJ589826 ERF589826 FBB589826 FKX589826 FUT589826 GEP589826 GOL589826 GYH589826 HID589826 HRZ589826 IBV589826 ILR589826 IVN589826 JFJ589826 JPF589826 JZB589826 KIX589826 KST589826 LCP589826 LML589826 LWH589826 MGD589826 MPZ589826 MZV589826 NJR589826 NTN589826 ODJ589826 ONF589826 OXB589826 PGX589826 PQT589826 QAP589826 QKL589826 QUH589826 RED589826 RNZ589826 RXV589826 SHR589826 SRN589826 TBJ589826 TLF589826 TVB589826 UEX589826 UOT589826 UYP589826 VIL589826 VSH589826 WCD589826 WLZ589826 WVV589826 N655362 JJ655362 TF655362 ADB655362 AMX655362 AWT655362 BGP655362 BQL655362 CAH655362 CKD655362 CTZ655362 DDV655362 DNR655362 DXN655362 EHJ655362 ERF655362 FBB655362 FKX655362 FUT655362 GEP655362 GOL655362 GYH655362 HID655362 HRZ655362 IBV655362 ILR655362 IVN655362 JFJ655362 JPF655362 JZB655362 KIX655362 KST655362 LCP655362 LML655362 LWH655362 MGD655362 MPZ655362 MZV655362 NJR655362 NTN655362 ODJ655362 ONF655362 OXB655362 PGX655362 PQT655362 QAP655362 QKL655362 QUH655362 RED655362 RNZ655362 RXV655362 SHR655362 SRN655362 TBJ655362 TLF655362 TVB655362 UEX655362 UOT655362 UYP655362 VIL655362 VSH655362 WCD655362 WLZ655362 WVV655362 N720898 JJ720898 TF720898 ADB720898 AMX720898 AWT720898 BGP720898 BQL720898 CAH720898 CKD720898 CTZ720898 DDV720898 DNR720898 DXN720898 EHJ720898 ERF720898 FBB720898 FKX720898 FUT720898 GEP720898 GOL720898 GYH720898 HID720898 HRZ720898 IBV720898 ILR720898 IVN720898 JFJ720898 JPF720898 JZB720898 KIX720898 KST720898 LCP720898 LML720898 LWH720898 MGD720898 MPZ720898 MZV720898 NJR720898 NTN720898 ODJ720898 ONF720898 OXB720898 PGX720898 PQT720898 QAP720898 QKL720898 QUH720898 RED720898 RNZ720898 RXV720898 SHR720898 SRN720898 TBJ720898 TLF720898 TVB720898 UEX720898 UOT720898 UYP720898 VIL720898 VSH720898 WCD720898 WLZ720898 WVV720898 N786434 JJ786434 TF786434 ADB786434 AMX786434 AWT786434 BGP786434 BQL786434 CAH786434 CKD786434 CTZ786434 DDV786434 DNR786434 DXN786434 EHJ786434 ERF786434 FBB786434 FKX786434 FUT786434 GEP786434 GOL786434 GYH786434 HID786434 HRZ786434 IBV786434 ILR786434 IVN786434 JFJ786434 JPF786434 JZB786434 KIX786434 KST786434 LCP786434 LML786434 LWH786434 MGD786434 MPZ786434 MZV786434 NJR786434 NTN786434 ODJ786434 ONF786434 OXB786434 PGX786434 PQT786434 QAP786434 QKL786434 QUH786434 RED786434 RNZ786434 RXV786434 SHR786434 SRN786434 TBJ786434 TLF786434 TVB786434 UEX786434 UOT786434 UYP786434 VIL786434 VSH786434 WCD786434 WLZ786434 WVV786434 N851970 JJ851970 TF851970 ADB851970 AMX851970 AWT851970 BGP851970 BQL851970 CAH851970 CKD851970 CTZ851970 DDV851970 DNR851970 DXN851970 EHJ851970 ERF851970 FBB851970 FKX851970 FUT851970 GEP851970 GOL851970 GYH851970 HID851970 HRZ851970 IBV851970 ILR851970 IVN851970 JFJ851970 JPF851970 JZB851970 KIX851970 KST851970 LCP851970 LML851970 LWH851970 MGD851970 MPZ851970 MZV851970 NJR851970 NTN851970 ODJ851970 ONF851970 OXB851970 PGX851970 PQT851970 QAP851970 QKL851970 QUH851970 RED851970 RNZ851970 RXV851970 SHR851970 SRN851970 TBJ851970 TLF851970 TVB851970 UEX851970 UOT851970 UYP851970 VIL851970 VSH851970 WCD851970 WLZ851970 WVV851970 N917506 JJ917506 TF917506 ADB917506 AMX917506 AWT917506 BGP917506 BQL917506 CAH917506 CKD917506 CTZ917506 DDV917506 DNR917506 DXN917506 EHJ917506 ERF917506 FBB917506 FKX917506 FUT917506 GEP917506 GOL917506 GYH917506 HID917506 HRZ917506 IBV917506 ILR917506 IVN917506 JFJ917506 JPF917506 JZB917506 KIX917506 KST917506 LCP917506 LML917506 LWH917506 MGD917506 MPZ917506 MZV917506 NJR917506 NTN917506 ODJ917506 ONF917506 OXB917506 PGX917506 PQT917506 QAP917506 QKL917506 QUH917506 RED917506 RNZ917506 RXV917506 SHR917506 SRN917506 TBJ917506 TLF917506 TVB917506 UEX917506 UOT917506 UYP917506 VIL917506 VSH917506 WCD917506 WLZ917506 WVV917506 N983042 JJ983042 TF983042 ADB983042 AMX983042 AWT983042 BGP983042 BQL983042 CAH983042 CKD983042 CTZ983042 DDV983042 DNR983042 DXN983042 EHJ983042 ERF983042 FBB983042 FKX983042 FUT983042 GEP983042 GOL983042 GYH983042 HID983042 HRZ983042 IBV983042 ILR983042 IVN983042 JFJ983042 JPF983042 JZB983042 KIX983042 KST983042 LCP983042 LML983042 LWH983042 MGD983042 MPZ983042 MZV983042 NJR983042 NTN983042 ODJ983042 ONF983042 OXB983042 PGX983042 PQT983042 QAP983042 QKL983042 QUH983042 RED983042 RNZ983042 RXV983042 SHR983042 SRN983042 TBJ983042 TLF983042 TVB983042 UEX983042 UOT983042 UYP983042 VIL983042 VSH983042 WCD983042 WLZ983042 WVV983042">
      <formula1>"if(G2=""True"",Len(N2)=0)"</formula1>
    </dataValidation>
    <dataValidation type="list" allowBlank="1" showInputMessage="1" showErrorMessage="1" sqref="G2:G1010 JC2:JC1010 SY2:SY1010 ACU2:ACU1010 AMQ2:AMQ1010 AWM2:AWM1010 BGI2:BGI1010 BQE2:BQE1010 CAA2:CAA1010 CJW2:CJW1010 CTS2:CTS1010 DDO2:DDO1010 DNK2:DNK1010 DXG2:DXG1010 EHC2:EHC1010 EQY2:EQY1010 FAU2:FAU1010 FKQ2:FKQ1010 FUM2:FUM1010 GEI2:GEI1010 GOE2:GOE1010 GYA2:GYA1010 HHW2:HHW1010 HRS2:HRS1010 IBO2:IBO1010 ILK2:ILK1010 IVG2:IVG1010 JFC2:JFC1010 JOY2:JOY1010 JYU2:JYU1010 KIQ2:KIQ1010 KSM2:KSM1010 LCI2:LCI1010 LME2:LME1010 LWA2:LWA1010 MFW2:MFW1010 MPS2:MPS1010 MZO2:MZO1010 NJK2:NJK1010 NTG2:NTG1010 ODC2:ODC1010 OMY2:OMY1010 OWU2:OWU1010 PGQ2:PGQ1010 PQM2:PQM1010 QAI2:QAI1010 QKE2:QKE1010 QUA2:QUA1010 RDW2:RDW1010 RNS2:RNS1010 RXO2:RXO1010 SHK2:SHK1010 SRG2:SRG1010 TBC2:TBC1010 TKY2:TKY1010 TUU2:TUU1010 UEQ2:UEQ1010 UOM2:UOM1010 UYI2:UYI1010 VIE2:VIE1010 VSA2:VSA1010 WBW2:WBW1010 WLS2:WLS1010 WVO2:WVO1010 G65538:G66546 JC65538:JC66546 SY65538:SY66546 ACU65538:ACU66546 AMQ65538:AMQ66546 AWM65538:AWM66546 BGI65538:BGI66546 BQE65538:BQE66546 CAA65538:CAA66546 CJW65538:CJW66546 CTS65538:CTS66546 DDO65538:DDO66546 DNK65538:DNK66546 DXG65538:DXG66546 EHC65538:EHC66546 EQY65538:EQY66546 FAU65538:FAU66546 FKQ65538:FKQ66546 FUM65538:FUM66546 GEI65538:GEI66546 GOE65538:GOE66546 GYA65538:GYA66546 HHW65538:HHW66546 HRS65538:HRS66546 IBO65538:IBO66546 ILK65538:ILK66546 IVG65538:IVG66546 JFC65538:JFC66546 JOY65538:JOY66546 JYU65538:JYU66546 KIQ65538:KIQ66546 KSM65538:KSM66546 LCI65538:LCI66546 LME65538:LME66546 LWA65538:LWA66546 MFW65538:MFW66546 MPS65538:MPS66546 MZO65538:MZO66546 NJK65538:NJK66546 NTG65538:NTG66546 ODC65538:ODC66546 OMY65538:OMY66546 OWU65538:OWU66546 PGQ65538:PGQ66546 PQM65538:PQM66546 QAI65538:QAI66546 QKE65538:QKE66546 QUA65538:QUA66546 RDW65538:RDW66546 RNS65538:RNS66546 RXO65538:RXO66546 SHK65538:SHK66546 SRG65538:SRG66546 TBC65538:TBC66546 TKY65538:TKY66546 TUU65538:TUU66546 UEQ65538:UEQ66546 UOM65538:UOM66546 UYI65538:UYI66546 VIE65538:VIE66546 VSA65538:VSA66546 WBW65538:WBW66546 WLS65538:WLS66546 WVO65538:WVO66546 G131074:G132082 JC131074:JC132082 SY131074:SY132082 ACU131074:ACU132082 AMQ131074:AMQ132082 AWM131074:AWM132082 BGI131074:BGI132082 BQE131074:BQE132082 CAA131074:CAA132082 CJW131074:CJW132082 CTS131074:CTS132082 DDO131074:DDO132082 DNK131074:DNK132082 DXG131074:DXG132082 EHC131074:EHC132082 EQY131074:EQY132082 FAU131074:FAU132082 FKQ131074:FKQ132082 FUM131074:FUM132082 GEI131074:GEI132082 GOE131074:GOE132082 GYA131074:GYA132082 HHW131074:HHW132082 HRS131074:HRS132082 IBO131074:IBO132082 ILK131074:ILK132082 IVG131074:IVG132082 JFC131074:JFC132082 JOY131074:JOY132082 JYU131074:JYU132082 KIQ131074:KIQ132082 KSM131074:KSM132082 LCI131074:LCI132082 LME131074:LME132082 LWA131074:LWA132082 MFW131074:MFW132082 MPS131074:MPS132082 MZO131074:MZO132082 NJK131074:NJK132082 NTG131074:NTG132082 ODC131074:ODC132082 OMY131074:OMY132082 OWU131074:OWU132082 PGQ131074:PGQ132082 PQM131074:PQM132082 QAI131074:QAI132082 QKE131074:QKE132082 QUA131074:QUA132082 RDW131074:RDW132082 RNS131074:RNS132082 RXO131074:RXO132082 SHK131074:SHK132082 SRG131074:SRG132082 TBC131074:TBC132082 TKY131074:TKY132082 TUU131074:TUU132082 UEQ131074:UEQ132082 UOM131074:UOM132082 UYI131074:UYI132082 VIE131074:VIE132082 VSA131074:VSA132082 WBW131074:WBW132082 WLS131074:WLS132082 WVO131074:WVO132082 G196610:G197618 JC196610:JC197618 SY196610:SY197618 ACU196610:ACU197618 AMQ196610:AMQ197618 AWM196610:AWM197618 BGI196610:BGI197618 BQE196610:BQE197618 CAA196610:CAA197618 CJW196610:CJW197618 CTS196610:CTS197618 DDO196610:DDO197618 DNK196610:DNK197618 DXG196610:DXG197618 EHC196610:EHC197618 EQY196610:EQY197618 FAU196610:FAU197618 FKQ196610:FKQ197618 FUM196610:FUM197618 GEI196610:GEI197618 GOE196610:GOE197618 GYA196610:GYA197618 HHW196610:HHW197618 HRS196610:HRS197618 IBO196610:IBO197618 ILK196610:ILK197618 IVG196610:IVG197618 JFC196610:JFC197618 JOY196610:JOY197618 JYU196610:JYU197618 KIQ196610:KIQ197618 KSM196610:KSM197618 LCI196610:LCI197618 LME196610:LME197618 LWA196610:LWA197618 MFW196610:MFW197618 MPS196610:MPS197618 MZO196610:MZO197618 NJK196610:NJK197618 NTG196610:NTG197618 ODC196610:ODC197618 OMY196610:OMY197618 OWU196610:OWU197618 PGQ196610:PGQ197618 PQM196610:PQM197618 QAI196610:QAI197618 QKE196610:QKE197618 QUA196610:QUA197618 RDW196610:RDW197618 RNS196610:RNS197618 RXO196610:RXO197618 SHK196610:SHK197618 SRG196610:SRG197618 TBC196610:TBC197618 TKY196610:TKY197618 TUU196610:TUU197618 UEQ196610:UEQ197618 UOM196610:UOM197618 UYI196610:UYI197618 VIE196610:VIE197618 VSA196610:VSA197618 WBW196610:WBW197618 WLS196610:WLS197618 WVO196610:WVO197618 G262146:G263154 JC262146:JC263154 SY262146:SY263154 ACU262146:ACU263154 AMQ262146:AMQ263154 AWM262146:AWM263154 BGI262146:BGI263154 BQE262146:BQE263154 CAA262146:CAA263154 CJW262146:CJW263154 CTS262146:CTS263154 DDO262146:DDO263154 DNK262146:DNK263154 DXG262146:DXG263154 EHC262146:EHC263154 EQY262146:EQY263154 FAU262146:FAU263154 FKQ262146:FKQ263154 FUM262146:FUM263154 GEI262146:GEI263154 GOE262146:GOE263154 GYA262146:GYA263154 HHW262146:HHW263154 HRS262146:HRS263154 IBO262146:IBO263154 ILK262146:ILK263154 IVG262146:IVG263154 JFC262146:JFC263154 JOY262146:JOY263154 JYU262146:JYU263154 KIQ262146:KIQ263154 KSM262146:KSM263154 LCI262146:LCI263154 LME262146:LME263154 LWA262146:LWA263154 MFW262146:MFW263154 MPS262146:MPS263154 MZO262146:MZO263154 NJK262146:NJK263154 NTG262146:NTG263154 ODC262146:ODC263154 OMY262146:OMY263154 OWU262146:OWU263154 PGQ262146:PGQ263154 PQM262146:PQM263154 QAI262146:QAI263154 QKE262146:QKE263154 QUA262146:QUA263154 RDW262146:RDW263154 RNS262146:RNS263154 RXO262146:RXO263154 SHK262146:SHK263154 SRG262146:SRG263154 TBC262146:TBC263154 TKY262146:TKY263154 TUU262146:TUU263154 UEQ262146:UEQ263154 UOM262146:UOM263154 UYI262146:UYI263154 VIE262146:VIE263154 VSA262146:VSA263154 WBW262146:WBW263154 WLS262146:WLS263154 WVO262146:WVO263154 G327682:G328690 JC327682:JC328690 SY327682:SY328690 ACU327682:ACU328690 AMQ327682:AMQ328690 AWM327682:AWM328690 BGI327682:BGI328690 BQE327682:BQE328690 CAA327682:CAA328690 CJW327682:CJW328690 CTS327682:CTS328690 DDO327682:DDO328690 DNK327682:DNK328690 DXG327682:DXG328690 EHC327682:EHC328690 EQY327682:EQY328690 FAU327682:FAU328690 FKQ327682:FKQ328690 FUM327682:FUM328690 GEI327682:GEI328690 GOE327682:GOE328690 GYA327682:GYA328690 HHW327682:HHW328690 HRS327682:HRS328690 IBO327682:IBO328690 ILK327682:ILK328690 IVG327682:IVG328690 JFC327682:JFC328690 JOY327682:JOY328690 JYU327682:JYU328690 KIQ327682:KIQ328690 KSM327682:KSM328690 LCI327682:LCI328690 LME327682:LME328690 LWA327682:LWA328690 MFW327682:MFW328690 MPS327682:MPS328690 MZO327682:MZO328690 NJK327682:NJK328690 NTG327682:NTG328690 ODC327682:ODC328690 OMY327682:OMY328690 OWU327682:OWU328690 PGQ327682:PGQ328690 PQM327682:PQM328690 QAI327682:QAI328690 QKE327682:QKE328690 QUA327682:QUA328690 RDW327682:RDW328690 RNS327682:RNS328690 RXO327682:RXO328690 SHK327682:SHK328690 SRG327682:SRG328690 TBC327682:TBC328690 TKY327682:TKY328690 TUU327682:TUU328690 UEQ327682:UEQ328690 UOM327682:UOM328690 UYI327682:UYI328690 VIE327682:VIE328690 VSA327682:VSA328690 WBW327682:WBW328690 WLS327682:WLS328690 WVO327682:WVO328690 G393218:G394226 JC393218:JC394226 SY393218:SY394226 ACU393218:ACU394226 AMQ393218:AMQ394226 AWM393218:AWM394226 BGI393218:BGI394226 BQE393218:BQE394226 CAA393218:CAA394226 CJW393218:CJW394226 CTS393218:CTS394226 DDO393218:DDO394226 DNK393218:DNK394226 DXG393218:DXG394226 EHC393218:EHC394226 EQY393218:EQY394226 FAU393218:FAU394226 FKQ393218:FKQ394226 FUM393218:FUM394226 GEI393218:GEI394226 GOE393218:GOE394226 GYA393218:GYA394226 HHW393218:HHW394226 HRS393218:HRS394226 IBO393218:IBO394226 ILK393218:ILK394226 IVG393218:IVG394226 JFC393218:JFC394226 JOY393218:JOY394226 JYU393218:JYU394226 KIQ393218:KIQ394226 KSM393218:KSM394226 LCI393218:LCI394226 LME393218:LME394226 LWA393218:LWA394226 MFW393218:MFW394226 MPS393218:MPS394226 MZO393218:MZO394226 NJK393218:NJK394226 NTG393218:NTG394226 ODC393218:ODC394226 OMY393218:OMY394226 OWU393218:OWU394226 PGQ393218:PGQ394226 PQM393218:PQM394226 QAI393218:QAI394226 QKE393218:QKE394226 QUA393218:QUA394226 RDW393218:RDW394226 RNS393218:RNS394226 RXO393218:RXO394226 SHK393218:SHK394226 SRG393218:SRG394226 TBC393218:TBC394226 TKY393218:TKY394226 TUU393218:TUU394226 UEQ393218:UEQ394226 UOM393218:UOM394226 UYI393218:UYI394226 VIE393218:VIE394226 VSA393218:VSA394226 WBW393218:WBW394226 WLS393218:WLS394226 WVO393218:WVO394226 G458754:G459762 JC458754:JC459762 SY458754:SY459762 ACU458754:ACU459762 AMQ458754:AMQ459762 AWM458754:AWM459762 BGI458754:BGI459762 BQE458754:BQE459762 CAA458754:CAA459762 CJW458754:CJW459762 CTS458754:CTS459762 DDO458754:DDO459762 DNK458754:DNK459762 DXG458754:DXG459762 EHC458754:EHC459762 EQY458754:EQY459762 FAU458754:FAU459762 FKQ458754:FKQ459762 FUM458754:FUM459762 GEI458754:GEI459762 GOE458754:GOE459762 GYA458754:GYA459762 HHW458754:HHW459762 HRS458754:HRS459762 IBO458754:IBO459762 ILK458754:ILK459762 IVG458754:IVG459762 JFC458754:JFC459762 JOY458754:JOY459762 JYU458754:JYU459762 KIQ458754:KIQ459762 KSM458754:KSM459762 LCI458754:LCI459762 LME458754:LME459762 LWA458754:LWA459762 MFW458754:MFW459762 MPS458754:MPS459762 MZO458754:MZO459762 NJK458754:NJK459762 NTG458754:NTG459762 ODC458754:ODC459762 OMY458754:OMY459762 OWU458754:OWU459762 PGQ458754:PGQ459762 PQM458754:PQM459762 QAI458754:QAI459762 QKE458754:QKE459762 QUA458754:QUA459762 RDW458754:RDW459762 RNS458754:RNS459762 RXO458754:RXO459762 SHK458754:SHK459762 SRG458754:SRG459762 TBC458754:TBC459762 TKY458754:TKY459762 TUU458754:TUU459762 UEQ458754:UEQ459762 UOM458754:UOM459762 UYI458754:UYI459762 VIE458754:VIE459762 VSA458754:VSA459762 WBW458754:WBW459762 WLS458754:WLS459762 WVO458754:WVO459762 G524290:G525298 JC524290:JC525298 SY524290:SY525298 ACU524290:ACU525298 AMQ524290:AMQ525298 AWM524290:AWM525298 BGI524290:BGI525298 BQE524290:BQE525298 CAA524290:CAA525298 CJW524290:CJW525298 CTS524290:CTS525298 DDO524290:DDO525298 DNK524290:DNK525298 DXG524290:DXG525298 EHC524290:EHC525298 EQY524290:EQY525298 FAU524290:FAU525298 FKQ524290:FKQ525298 FUM524290:FUM525298 GEI524290:GEI525298 GOE524290:GOE525298 GYA524290:GYA525298 HHW524290:HHW525298 HRS524290:HRS525298 IBO524290:IBO525298 ILK524290:ILK525298 IVG524290:IVG525298 JFC524290:JFC525298 JOY524290:JOY525298 JYU524290:JYU525298 KIQ524290:KIQ525298 KSM524290:KSM525298 LCI524290:LCI525298 LME524290:LME525298 LWA524290:LWA525298 MFW524290:MFW525298 MPS524290:MPS525298 MZO524290:MZO525298 NJK524290:NJK525298 NTG524290:NTG525298 ODC524290:ODC525298 OMY524290:OMY525298 OWU524290:OWU525298 PGQ524290:PGQ525298 PQM524290:PQM525298 QAI524290:QAI525298 QKE524290:QKE525298 QUA524290:QUA525298 RDW524290:RDW525298 RNS524290:RNS525298 RXO524290:RXO525298 SHK524290:SHK525298 SRG524290:SRG525298 TBC524290:TBC525298 TKY524290:TKY525298 TUU524290:TUU525298 UEQ524290:UEQ525298 UOM524290:UOM525298 UYI524290:UYI525298 VIE524290:VIE525298 VSA524290:VSA525298 WBW524290:WBW525298 WLS524290:WLS525298 WVO524290:WVO525298 G589826:G590834 JC589826:JC590834 SY589826:SY590834 ACU589826:ACU590834 AMQ589826:AMQ590834 AWM589826:AWM590834 BGI589826:BGI590834 BQE589826:BQE590834 CAA589826:CAA590834 CJW589826:CJW590834 CTS589826:CTS590834 DDO589826:DDO590834 DNK589826:DNK590834 DXG589826:DXG590834 EHC589826:EHC590834 EQY589826:EQY590834 FAU589826:FAU590834 FKQ589826:FKQ590834 FUM589826:FUM590834 GEI589826:GEI590834 GOE589826:GOE590834 GYA589826:GYA590834 HHW589826:HHW590834 HRS589826:HRS590834 IBO589826:IBO590834 ILK589826:ILK590834 IVG589826:IVG590834 JFC589826:JFC590834 JOY589826:JOY590834 JYU589826:JYU590834 KIQ589826:KIQ590834 KSM589826:KSM590834 LCI589826:LCI590834 LME589826:LME590834 LWA589826:LWA590834 MFW589826:MFW590834 MPS589826:MPS590834 MZO589826:MZO590834 NJK589826:NJK590834 NTG589826:NTG590834 ODC589826:ODC590834 OMY589826:OMY590834 OWU589826:OWU590834 PGQ589826:PGQ590834 PQM589826:PQM590834 QAI589826:QAI590834 QKE589826:QKE590834 QUA589826:QUA590834 RDW589826:RDW590834 RNS589826:RNS590834 RXO589826:RXO590834 SHK589826:SHK590834 SRG589826:SRG590834 TBC589826:TBC590834 TKY589826:TKY590834 TUU589826:TUU590834 UEQ589826:UEQ590834 UOM589826:UOM590834 UYI589826:UYI590834 VIE589826:VIE590834 VSA589826:VSA590834 WBW589826:WBW590834 WLS589826:WLS590834 WVO589826:WVO590834 G655362:G656370 JC655362:JC656370 SY655362:SY656370 ACU655362:ACU656370 AMQ655362:AMQ656370 AWM655362:AWM656370 BGI655362:BGI656370 BQE655362:BQE656370 CAA655362:CAA656370 CJW655362:CJW656370 CTS655362:CTS656370 DDO655362:DDO656370 DNK655362:DNK656370 DXG655362:DXG656370 EHC655362:EHC656370 EQY655362:EQY656370 FAU655362:FAU656370 FKQ655362:FKQ656370 FUM655362:FUM656370 GEI655362:GEI656370 GOE655362:GOE656370 GYA655362:GYA656370 HHW655362:HHW656370 HRS655362:HRS656370 IBO655362:IBO656370 ILK655362:ILK656370 IVG655362:IVG656370 JFC655362:JFC656370 JOY655362:JOY656370 JYU655362:JYU656370 KIQ655362:KIQ656370 KSM655362:KSM656370 LCI655362:LCI656370 LME655362:LME656370 LWA655362:LWA656370 MFW655362:MFW656370 MPS655362:MPS656370 MZO655362:MZO656370 NJK655362:NJK656370 NTG655362:NTG656370 ODC655362:ODC656370 OMY655362:OMY656370 OWU655362:OWU656370 PGQ655362:PGQ656370 PQM655362:PQM656370 QAI655362:QAI656370 QKE655362:QKE656370 QUA655362:QUA656370 RDW655362:RDW656370 RNS655362:RNS656370 RXO655362:RXO656370 SHK655362:SHK656370 SRG655362:SRG656370 TBC655362:TBC656370 TKY655362:TKY656370 TUU655362:TUU656370 UEQ655362:UEQ656370 UOM655362:UOM656370 UYI655362:UYI656370 VIE655362:VIE656370 VSA655362:VSA656370 WBW655362:WBW656370 WLS655362:WLS656370 WVO655362:WVO656370 G720898:G721906 JC720898:JC721906 SY720898:SY721906 ACU720898:ACU721906 AMQ720898:AMQ721906 AWM720898:AWM721906 BGI720898:BGI721906 BQE720898:BQE721906 CAA720898:CAA721906 CJW720898:CJW721906 CTS720898:CTS721906 DDO720898:DDO721906 DNK720898:DNK721906 DXG720898:DXG721906 EHC720898:EHC721906 EQY720898:EQY721906 FAU720898:FAU721906 FKQ720898:FKQ721906 FUM720898:FUM721906 GEI720898:GEI721906 GOE720898:GOE721906 GYA720898:GYA721906 HHW720898:HHW721906 HRS720898:HRS721906 IBO720898:IBO721906 ILK720898:ILK721906 IVG720898:IVG721906 JFC720898:JFC721906 JOY720898:JOY721906 JYU720898:JYU721906 KIQ720898:KIQ721906 KSM720898:KSM721906 LCI720898:LCI721906 LME720898:LME721906 LWA720898:LWA721906 MFW720898:MFW721906 MPS720898:MPS721906 MZO720898:MZO721906 NJK720898:NJK721906 NTG720898:NTG721906 ODC720898:ODC721906 OMY720898:OMY721906 OWU720898:OWU721906 PGQ720898:PGQ721906 PQM720898:PQM721906 QAI720898:QAI721906 QKE720898:QKE721906 QUA720898:QUA721906 RDW720898:RDW721906 RNS720898:RNS721906 RXO720898:RXO721906 SHK720898:SHK721906 SRG720898:SRG721906 TBC720898:TBC721906 TKY720898:TKY721906 TUU720898:TUU721906 UEQ720898:UEQ721906 UOM720898:UOM721906 UYI720898:UYI721906 VIE720898:VIE721906 VSA720898:VSA721906 WBW720898:WBW721906 WLS720898:WLS721906 WVO720898:WVO721906 G786434:G787442 JC786434:JC787442 SY786434:SY787442 ACU786434:ACU787442 AMQ786434:AMQ787442 AWM786434:AWM787442 BGI786434:BGI787442 BQE786434:BQE787442 CAA786434:CAA787442 CJW786434:CJW787442 CTS786434:CTS787442 DDO786434:DDO787442 DNK786434:DNK787442 DXG786434:DXG787442 EHC786434:EHC787442 EQY786434:EQY787442 FAU786434:FAU787442 FKQ786434:FKQ787442 FUM786434:FUM787442 GEI786434:GEI787442 GOE786434:GOE787442 GYA786434:GYA787442 HHW786434:HHW787442 HRS786434:HRS787442 IBO786434:IBO787442 ILK786434:ILK787442 IVG786434:IVG787442 JFC786434:JFC787442 JOY786434:JOY787442 JYU786434:JYU787442 KIQ786434:KIQ787442 KSM786434:KSM787442 LCI786434:LCI787442 LME786434:LME787442 LWA786434:LWA787442 MFW786434:MFW787442 MPS786434:MPS787442 MZO786434:MZO787442 NJK786434:NJK787442 NTG786434:NTG787442 ODC786434:ODC787442 OMY786434:OMY787442 OWU786434:OWU787442 PGQ786434:PGQ787442 PQM786434:PQM787442 QAI786434:QAI787442 QKE786434:QKE787442 QUA786434:QUA787442 RDW786434:RDW787442 RNS786434:RNS787442 RXO786434:RXO787442 SHK786434:SHK787442 SRG786434:SRG787442 TBC786434:TBC787442 TKY786434:TKY787442 TUU786434:TUU787442 UEQ786434:UEQ787442 UOM786434:UOM787442 UYI786434:UYI787442 VIE786434:VIE787442 VSA786434:VSA787442 WBW786434:WBW787442 WLS786434:WLS787442 WVO786434:WVO787442 G851970:G852978 JC851970:JC852978 SY851970:SY852978 ACU851970:ACU852978 AMQ851970:AMQ852978 AWM851970:AWM852978 BGI851970:BGI852978 BQE851970:BQE852978 CAA851970:CAA852978 CJW851970:CJW852978 CTS851970:CTS852978 DDO851970:DDO852978 DNK851970:DNK852978 DXG851970:DXG852978 EHC851970:EHC852978 EQY851970:EQY852978 FAU851970:FAU852978 FKQ851970:FKQ852978 FUM851970:FUM852978 GEI851970:GEI852978 GOE851970:GOE852978 GYA851970:GYA852978 HHW851970:HHW852978 HRS851970:HRS852978 IBO851970:IBO852978 ILK851970:ILK852978 IVG851970:IVG852978 JFC851970:JFC852978 JOY851970:JOY852978 JYU851970:JYU852978 KIQ851970:KIQ852978 KSM851970:KSM852978 LCI851970:LCI852978 LME851970:LME852978 LWA851970:LWA852978 MFW851970:MFW852978 MPS851970:MPS852978 MZO851970:MZO852978 NJK851970:NJK852978 NTG851970:NTG852978 ODC851970:ODC852978 OMY851970:OMY852978 OWU851970:OWU852978 PGQ851970:PGQ852978 PQM851970:PQM852978 QAI851970:QAI852978 QKE851970:QKE852978 QUA851970:QUA852978 RDW851970:RDW852978 RNS851970:RNS852978 RXO851970:RXO852978 SHK851970:SHK852978 SRG851970:SRG852978 TBC851970:TBC852978 TKY851970:TKY852978 TUU851970:TUU852978 UEQ851970:UEQ852978 UOM851970:UOM852978 UYI851970:UYI852978 VIE851970:VIE852978 VSA851970:VSA852978 WBW851970:WBW852978 WLS851970:WLS852978 WVO851970:WVO852978 G917506:G918514 JC917506:JC918514 SY917506:SY918514 ACU917506:ACU918514 AMQ917506:AMQ918514 AWM917506:AWM918514 BGI917506:BGI918514 BQE917506:BQE918514 CAA917506:CAA918514 CJW917506:CJW918514 CTS917506:CTS918514 DDO917506:DDO918514 DNK917506:DNK918514 DXG917506:DXG918514 EHC917506:EHC918514 EQY917506:EQY918514 FAU917506:FAU918514 FKQ917506:FKQ918514 FUM917506:FUM918514 GEI917506:GEI918514 GOE917506:GOE918514 GYA917506:GYA918514 HHW917506:HHW918514 HRS917506:HRS918514 IBO917506:IBO918514 ILK917506:ILK918514 IVG917506:IVG918514 JFC917506:JFC918514 JOY917506:JOY918514 JYU917506:JYU918514 KIQ917506:KIQ918514 KSM917506:KSM918514 LCI917506:LCI918514 LME917506:LME918514 LWA917506:LWA918514 MFW917506:MFW918514 MPS917506:MPS918514 MZO917506:MZO918514 NJK917506:NJK918514 NTG917506:NTG918514 ODC917506:ODC918514 OMY917506:OMY918514 OWU917506:OWU918514 PGQ917506:PGQ918514 PQM917506:PQM918514 QAI917506:QAI918514 QKE917506:QKE918514 QUA917506:QUA918514 RDW917506:RDW918514 RNS917506:RNS918514 RXO917506:RXO918514 SHK917506:SHK918514 SRG917506:SRG918514 TBC917506:TBC918514 TKY917506:TKY918514 TUU917506:TUU918514 UEQ917506:UEQ918514 UOM917506:UOM918514 UYI917506:UYI918514 VIE917506:VIE918514 VSA917506:VSA918514 WBW917506:WBW918514 WLS917506:WLS918514 WVO917506:WVO918514 G983042:G984050 JC983042:JC984050 SY983042:SY984050 ACU983042:ACU984050 AMQ983042:AMQ984050 AWM983042:AWM984050 BGI983042:BGI984050 BQE983042:BQE984050 CAA983042:CAA984050 CJW983042:CJW984050 CTS983042:CTS984050 DDO983042:DDO984050 DNK983042:DNK984050 DXG983042:DXG984050 EHC983042:EHC984050 EQY983042:EQY984050 FAU983042:FAU984050 FKQ983042:FKQ984050 FUM983042:FUM984050 GEI983042:GEI984050 GOE983042:GOE984050 GYA983042:GYA984050 HHW983042:HHW984050 HRS983042:HRS984050 IBO983042:IBO984050 ILK983042:ILK984050 IVG983042:IVG984050 JFC983042:JFC984050 JOY983042:JOY984050 JYU983042:JYU984050 KIQ983042:KIQ984050 KSM983042:KSM984050 LCI983042:LCI984050 LME983042:LME984050 LWA983042:LWA984050 MFW983042:MFW984050 MPS983042:MPS984050 MZO983042:MZO984050 NJK983042:NJK984050 NTG983042:NTG984050 ODC983042:ODC984050 OMY983042:OMY984050 OWU983042:OWU984050 PGQ983042:PGQ984050 PQM983042:PQM984050 QAI983042:QAI984050 QKE983042:QKE984050 QUA983042:QUA984050 RDW983042:RDW984050 RNS983042:RNS984050 RXO983042:RXO984050 SHK983042:SHK984050 SRG983042:SRG984050 TBC983042:TBC984050 TKY983042:TKY984050 TUU983042:TUU984050 UEQ983042:UEQ984050 UOM983042:UOM984050 UYI983042:UYI984050 VIE983042:VIE984050 VSA983042:VSA984050 WBW983042:WBW984050 WLS983042:WLS984050 WVO983042:WVO984050">
      <formula1>Enable</formula1>
    </dataValidation>
    <dataValidation type="list" allowBlank="1" showInputMessage="1" showErrorMessage="1" sqref="I2:J1010 JE2:JF1010 TA2:TB1010 ACW2:ACX1010 AMS2:AMT1010 AWO2:AWP1010 BGK2:BGL1010 BQG2:BQH1010 CAC2:CAD1010 CJY2:CJZ1010 CTU2:CTV1010 DDQ2:DDR1010 DNM2:DNN1010 DXI2:DXJ1010 EHE2:EHF1010 ERA2:ERB1010 FAW2:FAX1010 FKS2:FKT1010 FUO2:FUP1010 GEK2:GEL1010 GOG2:GOH1010 GYC2:GYD1010 HHY2:HHZ1010 HRU2:HRV1010 IBQ2:IBR1010 ILM2:ILN1010 IVI2:IVJ1010 JFE2:JFF1010 JPA2:JPB1010 JYW2:JYX1010 KIS2:KIT1010 KSO2:KSP1010 LCK2:LCL1010 LMG2:LMH1010 LWC2:LWD1010 MFY2:MFZ1010 MPU2:MPV1010 MZQ2:MZR1010 NJM2:NJN1010 NTI2:NTJ1010 ODE2:ODF1010 ONA2:ONB1010 OWW2:OWX1010 PGS2:PGT1010 PQO2:PQP1010 QAK2:QAL1010 QKG2:QKH1010 QUC2:QUD1010 RDY2:RDZ1010 RNU2:RNV1010 RXQ2:RXR1010 SHM2:SHN1010 SRI2:SRJ1010 TBE2:TBF1010 TLA2:TLB1010 TUW2:TUX1010 UES2:UET1010 UOO2:UOP1010 UYK2:UYL1010 VIG2:VIH1010 VSC2:VSD1010 WBY2:WBZ1010 WLU2:WLV1010 WVQ2:WVR1010 I65538:J66546 JE65538:JF66546 TA65538:TB66546 ACW65538:ACX66546 AMS65538:AMT66546 AWO65538:AWP66546 BGK65538:BGL66546 BQG65538:BQH66546 CAC65538:CAD66546 CJY65538:CJZ66546 CTU65538:CTV66546 DDQ65538:DDR66546 DNM65538:DNN66546 DXI65538:DXJ66546 EHE65538:EHF66546 ERA65538:ERB66546 FAW65538:FAX66546 FKS65538:FKT66546 FUO65538:FUP66546 GEK65538:GEL66546 GOG65538:GOH66546 GYC65538:GYD66546 HHY65538:HHZ66546 HRU65538:HRV66546 IBQ65538:IBR66546 ILM65538:ILN66546 IVI65538:IVJ66546 JFE65538:JFF66546 JPA65538:JPB66546 JYW65538:JYX66546 KIS65538:KIT66546 KSO65538:KSP66546 LCK65538:LCL66546 LMG65538:LMH66546 LWC65538:LWD66546 MFY65538:MFZ66546 MPU65538:MPV66546 MZQ65538:MZR66546 NJM65538:NJN66546 NTI65538:NTJ66546 ODE65538:ODF66546 ONA65538:ONB66546 OWW65538:OWX66546 PGS65538:PGT66546 PQO65538:PQP66546 QAK65538:QAL66546 QKG65538:QKH66546 QUC65538:QUD66546 RDY65538:RDZ66546 RNU65538:RNV66546 RXQ65538:RXR66546 SHM65538:SHN66546 SRI65538:SRJ66546 TBE65538:TBF66546 TLA65538:TLB66546 TUW65538:TUX66546 UES65538:UET66546 UOO65538:UOP66546 UYK65538:UYL66546 VIG65538:VIH66546 VSC65538:VSD66546 WBY65538:WBZ66546 WLU65538:WLV66546 WVQ65538:WVR66546 I131074:J132082 JE131074:JF132082 TA131074:TB132082 ACW131074:ACX132082 AMS131074:AMT132082 AWO131074:AWP132082 BGK131074:BGL132082 BQG131074:BQH132082 CAC131074:CAD132082 CJY131074:CJZ132082 CTU131074:CTV132082 DDQ131074:DDR132082 DNM131074:DNN132082 DXI131074:DXJ132082 EHE131074:EHF132082 ERA131074:ERB132082 FAW131074:FAX132082 FKS131074:FKT132082 FUO131074:FUP132082 GEK131074:GEL132082 GOG131074:GOH132082 GYC131074:GYD132082 HHY131074:HHZ132082 HRU131074:HRV132082 IBQ131074:IBR132082 ILM131074:ILN132082 IVI131074:IVJ132082 JFE131074:JFF132082 JPA131074:JPB132082 JYW131074:JYX132082 KIS131074:KIT132082 KSO131074:KSP132082 LCK131074:LCL132082 LMG131074:LMH132082 LWC131074:LWD132082 MFY131074:MFZ132082 MPU131074:MPV132082 MZQ131074:MZR132082 NJM131074:NJN132082 NTI131074:NTJ132082 ODE131074:ODF132082 ONA131074:ONB132082 OWW131074:OWX132082 PGS131074:PGT132082 PQO131074:PQP132082 QAK131074:QAL132082 QKG131074:QKH132082 QUC131074:QUD132082 RDY131074:RDZ132082 RNU131074:RNV132082 RXQ131074:RXR132082 SHM131074:SHN132082 SRI131074:SRJ132082 TBE131074:TBF132082 TLA131074:TLB132082 TUW131074:TUX132082 UES131074:UET132082 UOO131074:UOP132082 UYK131074:UYL132082 VIG131074:VIH132082 VSC131074:VSD132082 WBY131074:WBZ132082 WLU131074:WLV132082 WVQ131074:WVR132082 I196610:J197618 JE196610:JF197618 TA196610:TB197618 ACW196610:ACX197618 AMS196610:AMT197618 AWO196610:AWP197618 BGK196610:BGL197618 BQG196610:BQH197618 CAC196610:CAD197618 CJY196610:CJZ197618 CTU196610:CTV197618 DDQ196610:DDR197618 DNM196610:DNN197618 DXI196610:DXJ197618 EHE196610:EHF197618 ERA196610:ERB197618 FAW196610:FAX197618 FKS196610:FKT197618 FUO196610:FUP197618 GEK196610:GEL197618 GOG196610:GOH197618 GYC196610:GYD197618 HHY196610:HHZ197618 HRU196610:HRV197618 IBQ196610:IBR197618 ILM196610:ILN197618 IVI196610:IVJ197618 JFE196610:JFF197618 JPA196610:JPB197618 JYW196610:JYX197618 KIS196610:KIT197618 KSO196610:KSP197618 LCK196610:LCL197618 LMG196610:LMH197618 LWC196610:LWD197618 MFY196610:MFZ197618 MPU196610:MPV197618 MZQ196610:MZR197618 NJM196610:NJN197618 NTI196610:NTJ197618 ODE196610:ODF197618 ONA196610:ONB197618 OWW196610:OWX197618 PGS196610:PGT197618 PQO196610:PQP197618 QAK196610:QAL197618 QKG196610:QKH197618 QUC196610:QUD197618 RDY196610:RDZ197618 RNU196610:RNV197618 RXQ196610:RXR197618 SHM196610:SHN197618 SRI196610:SRJ197618 TBE196610:TBF197618 TLA196610:TLB197618 TUW196610:TUX197618 UES196610:UET197618 UOO196610:UOP197618 UYK196610:UYL197618 VIG196610:VIH197618 VSC196610:VSD197618 WBY196610:WBZ197618 WLU196610:WLV197618 WVQ196610:WVR197618 I262146:J263154 JE262146:JF263154 TA262146:TB263154 ACW262146:ACX263154 AMS262146:AMT263154 AWO262146:AWP263154 BGK262146:BGL263154 BQG262146:BQH263154 CAC262146:CAD263154 CJY262146:CJZ263154 CTU262146:CTV263154 DDQ262146:DDR263154 DNM262146:DNN263154 DXI262146:DXJ263154 EHE262146:EHF263154 ERA262146:ERB263154 FAW262146:FAX263154 FKS262146:FKT263154 FUO262146:FUP263154 GEK262146:GEL263154 GOG262146:GOH263154 GYC262146:GYD263154 HHY262146:HHZ263154 HRU262146:HRV263154 IBQ262146:IBR263154 ILM262146:ILN263154 IVI262146:IVJ263154 JFE262146:JFF263154 JPA262146:JPB263154 JYW262146:JYX263154 KIS262146:KIT263154 KSO262146:KSP263154 LCK262146:LCL263154 LMG262146:LMH263154 LWC262146:LWD263154 MFY262146:MFZ263154 MPU262146:MPV263154 MZQ262146:MZR263154 NJM262146:NJN263154 NTI262146:NTJ263154 ODE262146:ODF263154 ONA262146:ONB263154 OWW262146:OWX263154 PGS262146:PGT263154 PQO262146:PQP263154 QAK262146:QAL263154 QKG262146:QKH263154 QUC262146:QUD263154 RDY262146:RDZ263154 RNU262146:RNV263154 RXQ262146:RXR263154 SHM262146:SHN263154 SRI262146:SRJ263154 TBE262146:TBF263154 TLA262146:TLB263154 TUW262146:TUX263154 UES262146:UET263154 UOO262146:UOP263154 UYK262146:UYL263154 VIG262146:VIH263154 VSC262146:VSD263154 WBY262146:WBZ263154 WLU262146:WLV263154 WVQ262146:WVR263154 I327682:J328690 JE327682:JF328690 TA327682:TB328690 ACW327682:ACX328690 AMS327682:AMT328690 AWO327682:AWP328690 BGK327682:BGL328690 BQG327682:BQH328690 CAC327682:CAD328690 CJY327682:CJZ328690 CTU327682:CTV328690 DDQ327682:DDR328690 DNM327682:DNN328690 DXI327682:DXJ328690 EHE327682:EHF328690 ERA327682:ERB328690 FAW327682:FAX328690 FKS327682:FKT328690 FUO327682:FUP328690 GEK327682:GEL328690 GOG327682:GOH328690 GYC327682:GYD328690 HHY327682:HHZ328690 HRU327682:HRV328690 IBQ327682:IBR328690 ILM327682:ILN328690 IVI327682:IVJ328690 JFE327682:JFF328690 JPA327682:JPB328690 JYW327682:JYX328690 KIS327682:KIT328690 KSO327682:KSP328690 LCK327682:LCL328690 LMG327682:LMH328690 LWC327682:LWD328690 MFY327682:MFZ328690 MPU327682:MPV328690 MZQ327682:MZR328690 NJM327682:NJN328690 NTI327682:NTJ328690 ODE327682:ODF328690 ONA327682:ONB328690 OWW327682:OWX328690 PGS327682:PGT328690 PQO327682:PQP328690 QAK327682:QAL328690 QKG327682:QKH328690 QUC327682:QUD328690 RDY327682:RDZ328690 RNU327682:RNV328690 RXQ327682:RXR328690 SHM327682:SHN328690 SRI327682:SRJ328690 TBE327682:TBF328690 TLA327682:TLB328690 TUW327682:TUX328690 UES327682:UET328690 UOO327682:UOP328690 UYK327682:UYL328690 VIG327682:VIH328690 VSC327682:VSD328690 WBY327682:WBZ328690 WLU327682:WLV328690 WVQ327682:WVR328690 I393218:J394226 JE393218:JF394226 TA393218:TB394226 ACW393218:ACX394226 AMS393218:AMT394226 AWO393218:AWP394226 BGK393218:BGL394226 BQG393218:BQH394226 CAC393218:CAD394226 CJY393218:CJZ394226 CTU393218:CTV394226 DDQ393218:DDR394226 DNM393218:DNN394226 DXI393218:DXJ394226 EHE393218:EHF394226 ERA393218:ERB394226 FAW393218:FAX394226 FKS393218:FKT394226 FUO393218:FUP394226 GEK393218:GEL394226 GOG393218:GOH394226 GYC393218:GYD394226 HHY393218:HHZ394226 HRU393218:HRV394226 IBQ393218:IBR394226 ILM393218:ILN394226 IVI393218:IVJ394226 JFE393218:JFF394226 JPA393218:JPB394226 JYW393218:JYX394226 KIS393218:KIT394226 KSO393218:KSP394226 LCK393218:LCL394226 LMG393218:LMH394226 LWC393218:LWD394226 MFY393218:MFZ394226 MPU393218:MPV394226 MZQ393218:MZR394226 NJM393218:NJN394226 NTI393218:NTJ394226 ODE393218:ODF394226 ONA393218:ONB394226 OWW393218:OWX394226 PGS393218:PGT394226 PQO393218:PQP394226 QAK393218:QAL394226 QKG393218:QKH394226 QUC393218:QUD394226 RDY393218:RDZ394226 RNU393218:RNV394226 RXQ393218:RXR394226 SHM393218:SHN394226 SRI393218:SRJ394226 TBE393218:TBF394226 TLA393218:TLB394226 TUW393218:TUX394226 UES393218:UET394226 UOO393218:UOP394226 UYK393218:UYL394226 VIG393218:VIH394226 VSC393218:VSD394226 WBY393218:WBZ394226 WLU393218:WLV394226 WVQ393218:WVR394226 I458754:J459762 JE458754:JF459762 TA458754:TB459762 ACW458754:ACX459762 AMS458754:AMT459762 AWO458754:AWP459762 BGK458754:BGL459762 BQG458754:BQH459762 CAC458754:CAD459762 CJY458754:CJZ459762 CTU458754:CTV459762 DDQ458754:DDR459762 DNM458754:DNN459762 DXI458754:DXJ459762 EHE458754:EHF459762 ERA458754:ERB459762 FAW458754:FAX459762 FKS458754:FKT459762 FUO458754:FUP459762 GEK458754:GEL459762 GOG458754:GOH459762 GYC458754:GYD459762 HHY458754:HHZ459762 HRU458754:HRV459762 IBQ458754:IBR459762 ILM458754:ILN459762 IVI458754:IVJ459762 JFE458754:JFF459762 JPA458754:JPB459762 JYW458754:JYX459762 KIS458754:KIT459762 KSO458754:KSP459762 LCK458754:LCL459762 LMG458754:LMH459762 LWC458754:LWD459762 MFY458754:MFZ459762 MPU458754:MPV459762 MZQ458754:MZR459762 NJM458754:NJN459762 NTI458754:NTJ459762 ODE458754:ODF459762 ONA458754:ONB459762 OWW458754:OWX459762 PGS458754:PGT459762 PQO458754:PQP459762 QAK458754:QAL459762 QKG458754:QKH459762 QUC458754:QUD459762 RDY458754:RDZ459762 RNU458754:RNV459762 RXQ458754:RXR459762 SHM458754:SHN459762 SRI458754:SRJ459762 TBE458754:TBF459762 TLA458754:TLB459762 TUW458754:TUX459762 UES458754:UET459762 UOO458754:UOP459762 UYK458754:UYL459762 VIG458754:VIH459762 VSC458754:VSD459762 WBY458754:WBZ459762 WLU458754:WLV459762 WVQ458754:WVR459762 I524290:J525298 JE524290:JF525298 TA524290:TB525298 ACW524290:ACX525298 AMS524290:AMT525298 AWO524290:AWP525298 BGK524290:BGL525298 BQG524290:BQH525298 CAC524290:CAD525298 CJY524290:CJZ525298 CTU524290:CTV525298 DDQ524290:DDR525298 DNM524290:DNN525298 DXI524290:DXJ525298 EHE524290:EHF525298 ERA524290:ERB525298 FAW524290:FAX525298 FKS524290:FKT525298 FUO524290:FUP525298 GEK524290:GEL525298 GOG524290:GOH525298 GYC524290:GYD525298 HHY524290:HHZ525298 HRU524290:HRV525298 IBQ524290:IBR525298 ILM524290:ILN525298 IVI524290:IVJ525298 JFE524290:JFF525298 JPA524290:JPB525298 JYW524290:JYX525298 KIS524290:KIT525298 KSO524290:KSP525298 LCK524290:LCL525298 LMG524290:LMH525298 LWC524290:LWD525298 MFY524290:MFZ525298 MPU524290:MPV525298 MZQ524290:MZR525298 NJM524290:NJN525298 NTI524290:NTJ525298 ODE524290:ODF525298 ONA524290:ONB525298 OWW524290:OWX525298 PGS524290:PGT525298 PQO524290:PQP525298 QAK524290:QAL525298 QKG524290:QKH525298 QUC524290:QUD525298 RDY524290:RDZ525298 RNU524290:RNV525298 RXQ524290:RXR525298 SHM524290:SHN525298 SRI524290:SRJ525298 TBE524290:TBF525298 TLA524290:TLB525298 TUW524290:TUX525298 UES524290:UET525298 UOO524290:UOP525298 UYK524290:UYL525298 VIG524290:VIH525298 VSC524290:VSD525298 WBY524290:WBZ525298 WLU524290:WLV525298 WVQ524290:WVR525298 I589826:J590834 JE589826:JF590834 TA589826:TB590834 ACW589826:ACX590834 AMS589826:AMT590834 AWO589826:AWP590834 BGK589826:BGL590834 BQG589826:BQH590834 CAC589826:CAD590834 CJY589826:CJZ590834 CTU589826:CTV590834 DDQ589826:DDR590834 DNM589826:DNN590834 DXI589826:DXJ590834 EHE589826:EHF590834 ERA589826:ERB590834 FAW589826:FAX590834 FKS589826:FKT590834 FUO589826:FUP590834 GEK589826:GEL590834 GOG589826:GOH590834 GYC589826:GYD590834 HHY589826:HHZ590834 HRU589826:HRV590834 IBQ589826:IBR590834 ILM589826:ILN590834 IVI589826:IVJ590834 JFE589826:JFF590834 JPA589826:JPB590834 JYW589826:JYX590834 KIS589826:KIT590834 KSO589826:KSP590834 LCK589826:LCL590834 LMG589826:LMH590834 LWC589826:LWD590834 MFY589826:MFZ590834 MPU589826:MPV590834 MZQ589826:MZR590834 NJM589826:NJN590834 NTI589826:NTJ590834 ODE589826:ODF590834 ONA589826:ONB590834 OWW589826:OWX590834 PGS589826:PGT590834 PQO589826:PQP590834 QAK589826:QAL590834 QKG589826:QKH590834 QUC589826:QUD590834 RDY589826:RDZ590834 RNU589826:RNV590834 RXQ589826:RXR590834 SHM589826:SHN590834 SRI589826:SRJ590834 TBE589826:TBF590834 TLA589826:TLB590834 TUW589826:TUX590834 UES589826:UET590834 UOO589826:UOP590834 UYK589826:UYL590834 VIG589826:VIH590834 VSC589826:VSD590834 WBY589826:WBZ590834 WLU589826:WLV590834 WVQ589826:WVR590834 I655362:J656370 JE655362:JF656370 TA655362:TB656370 ACW655362:ACX656370 AMS655362:AMT656370 AWO655362:AWP656370 BGK655362:BGL656370 BQG655362:BQH656370 CAC655362:CAD656370 CJY655362:CJZ656370 CTU655362:CTV656370 DDQ655362:DDR656370 DNM655362:DNN656370 DXI655362:DXJ656370 EHE655362:EHF656370 ERA655362:ERB656370 FAW655362:FAX656370 FKS655362:FKT656370 FUO655362:FUP656370 GEK655362:GEL656370 GOG655362:GOH656370 GYC655362:GYD656370 HHY655362:HHZ656370 HRU655362:HRV656370 IBQ655362:IBR656370 ILM655362:ILN656370 IVI655362:IVJ656370 JFE655362:JFF656370 JPA655362:JPB656370 JYW655362:JYX656370 KIS655362:KIT656370 KSO655362:KSP656370 LCK655362:LCL656370 LMG655362:LMH656370 LWC655362:LWD656370 MFY655362:MFZ656370 MPU655362:MPV656370 MZQ655362:MZR656370 NJM655362:NJN656370 NTI655362:NTJ656370 ODE655362:ODF656370 ONA655362:ONB656370 OWW655362:OWX656370 PGS655362:PGT656370 PQO655362:PQP656370 QAK655362:QAL656370 QKG655362:QKH656370 QUC655362:QUD656370 RDY655362:RDZ656370 RNU655362:RNV656370 RXQ655362:RXR656370 SHM655362:SHN656370 SRI655362:SRJ656370 TBE655362:TBF656370 TLA655362:TLB656370 TUW655362:TUX656370 UES655362:UET656370 UOO655362:UOP656370 UYK655362:UYL656370 VIG655362:VIH656370 VSC655362:VSD656370 WBY655362:WBZ656370 WLU655362:WLV656370 WVQ655362:WVR656370 I720898:J721906 JE720898:JF721906 TA720898:TB721906 ACW720898:ACX721906 AMS720898:AMT721906 AWO720898:AWP721906 BGK720898:BGL721906 BQG720898:BQH721906 CAC720898:CAD721906 CJY720898:CJZ721906 CTU720898:CTV721906 DDQ720898:DDR721906 DNM720898:DNN721906 DXI720898:DXJ721906 EHE720898:EHF721906 ERA720898:ERB721906 FAW720898:FAX721906 FKS720898:FKT721906 FUO720898:FUP721906 GEK720898:GEL721906 GOG720898:GOH721906 GYC720898:GYD721906 HHY720898:HHZ721906 HRU720898:HRV721906 IBQ720898:IBR721906 ILM720898:ILN721906 IVI720898:IVJ721906 JFE720898:JFF721906 JPA720898:JPB721906 JYW720898:JYX721906 KIS720898:KIT721906 KSO720898:KSP721906 LCK720898:LCL721906 LMG720898:LMH721906 LWC720898:LWD721906 MFY720898:MFZ721906 MPU720898:MPV721906 MZQ720898:MZR721906 NJM720898:NJN721906 NTI720898:NTJ721906 ODE720898:ODF721906 ONA720898:ONB721906 OWW720898:OWX721906 PGS720898:PGT721906 PQO720898:PQP721906 QAK720898:QAL721906 QKG720898:QKH721906 QUC720898:QUD721906 RDY720898:RDZ721906 RNU720898:RNV721906 RXQ720898:RXR721906 SHM720898:SHN721906 SRI720898:SRJ721906 TBE720898:TBF721906 TLA720898:TLB721906 TUW720898:TUX721906 UES720898:UET721906 UOO720898:UOP721906 UYK720898:UYL721906 VIG720898:VIH721906 VSC720898:VSD721906 WBY720898:WBZ721906 WLU720898:WLV721906 WVQ720898:WVR721906 I786434:J787442 JE786434:JF787442 TA786434:TB787442 ACW786434:ACX787442 AMS786434:AMT787442 AWO786434:AWP787442 BGK786434:BGL787442 BQG786434:BQH787442 CAC786434:CAD787442 CJY786434:CJZ787442 CTU786434:CTV787442 DDQ786434:DDR787442 DNM786434:DNN787442 DXI786434:DXJ787442 EHE786434:EHF787442 ERA786434:ERB787442 FAW786434:FAX787442 FKS786434:FKT787442 FUO786434:FUP787442 GEK786434:GEL787442 GOG786434:GOH787442 GYC786434:GYD787442 HHY786434:HHZ787442 HRU786434:HRV787442 IBQ786434:IBR787442 ILM786434:ILN787442 IVI786434:IVJ787442 JFE786434:JFF787442 JPA786434:JPB787442 JYW786434:JYX787442 KIS786434:KIT787442 KSO786434:KSP787442 LCK786434:LCL787442 LMG786434:LMH787442 LWC786434:LWD787442 MFY786434:MFZ787442 MPU786434:MPV787442 MZQ786434:MZR787442 NJM786434:NJN787442 NTI786434:NTJ787442 ODE786434:ODF787442 ONA786434:ONB787442 OWW786434:OWX787442 PGS786434:PGT787442 PQO786434:PQP787442 QAK786434:QAL787442 QKG786434:QKH787442 QUC786434:QUD787442 RDY786434:RDZ787442 RNU786434:RNV787442 RXQ786434:RXR787442 SHM786434:SHN787442 SRI786434:SRJ787442 TBE786434:TBF787442 TLA786434:TLB787442 TUW786434:TUX787442 UES786434:UET787442 UOO786434:UOP787442 UYK786434:UYL787442 VIG786434:VIH787442 VSC786434:VSD787442 WBY786434:WBZ787442 WLU786434:WLV787442 WVQ786434:WVR787442 I851970:J852978 JE851970:JF852978 TA851970:TB852978 ACW851970:ACX852978 AMS851970:AMT852978 AWO851970:AWP852978 BGK851970:BGL852978 BQG851970:BQH852978 CAC851970:CAD852978 CJY851970:CJZ852978 CTU851970:CTV852978 DDQ851970:DDR852978 DNM851970:DNN852978 DXI851970:DXJ852978 EHE851970:EHF852978 ERA851970:ERB852978 FAW851970:FAX852978 FKS851970:FKT852978 FUO851970:FUP852978 GEK851970:GEL852978 GOG851970:GOH852978 GYC851970:GYD852978 HHY851970:HHZ852978 HRU851970:HRV852978 IBQ851970:IBR852978 ILM851970:ILN852978 IVI851970:IVJ852978 JFE851970:JFF852978 JPA851970:JPB852978 JYW851970:JYX852978 KIS851970:KIT852978 KSO851970:KSP852978 LCK851970:LCL852978 LMG851970:LMH852978 LWC851970:LWD852978 MFY851970:MFZ852978 MPU851970:MPV852978 MZQ851970:MZR852978 NJM851970:NJN852978 NTI851970:NTJ852978 ODE851970:ODF852978 ONA851970:ONB852978 OWW851970:OWX852978 PGS851970:PGT852978 PQO851970:PQP852978 QAK851970:QAL852978 QKG851970:QKH852978 QUC851970:QUD852978 RDY851970:RDZ852978 RNU851970:RNV852978 RXQ851970:RXR852978 SHM851970:SHN852978 SRI851970:SRJ852978 TBE851970:TBF852978 TLA851970:TLB852978 TUW851970:TUX852978 UES851970:UET852978 UOO851970:UOP852978 UYK851970:UYL852978 VIG851970:VIH852978 VSC851970:VSD852978 WBY851970:WBZ852978 WLU851970:WLV852978 WVQ851970:WVR852978 I917506:J918514 JE917506:JF918514 TA917506:TB918514 ACW917506:ACX918514 AMS917506:AMT918514 AWO917506:AWP918514 BGK917506:BGL918514 BQG917506:BQH918514 CAC917506:CAD918514 CJY917506:CJZ918514 CTU917506:CTV918514 DDQ917506:DDR918514 DNM917506:DNN918514 DXI917506:DXJ918514 EHE917506:EHF918514 ERA917506:ERB918514 FAW917506:FAX918514 FKS917506:FKT918514 FUO917506:FUP918514 GEK917506:GEL918514 GOG917506:GOH918514 GYC917506:GYD918514 HHY917506:HHZ918514 HRU917506:HRV918514 IBQ917506:IBR918514 ILM917506:ILN918514 IVI917506:IVJ918514 JFE917506:JFF918514 JPA917506:JPB918514 JYW917506:JYX918514 KIS917506:KIT918514 KSO917506:KSP918514 LCK917506:LCL918514 LMG917506:LMH918514 LWC917506:LWD918514 MFY917506:MFZ918514 MPU917506:MPV918514 MZQ917506:MZR918514 NJM917506:NJN918514 NTI917506:NTJ918514 ODE917506:ODF918514 ONA917506:ONB918514 OWW917506:OWX918514 PGS917506:PGT918514 PQO917506:PQP918514 QAK917506:QAL918514 QKG917506:QKH918514 QUC917506:QUD918514 RDY917506:RDZ918514 RNU917506:RNV918514 RXQ917506:RXR918514 SHM917506:SHN918514 SRI917506:SRJ918514 TBE917506:TBF918514 TLA917506:TLB918514 TUW917506:TUX918514 UES917506:UET918514 UOO917506:UOP918514 UYK917506:UYL918514 VIG917506:VIH918514 VSC917506:VSD918514 WBY917506:WBZ918514 WLU917506:WLV918514 WVQ917506:WVR918514 I983042:J984050 JE983042:JF984050 TA983042:TB984050 ACW983042:ACX984050 AMS983042:AMT984050 AWO983042:AWP984050 BGK983042:BGL984050 BQG983042:BQH984050 CAC983042:CAD984050 CJY983042:CJZ984050 CTU983042:CTV984050 DDQ983042:DDR984050 DNM983042:DNN984050 DXI983042:DXJ984050 EHE983042:EHF984050 ERA983042:ERB984050 FAW983042:FAX984050 FKS983042:FKT984050 FUO983042:FUP984050 GEK983042:GEL984050 GOG983042:GOH984050 GYC983042:GYD984050 HHY983042:HHZ984050 HRU983042:HRV984050 IBQ983042:IBR984050 ILM983042:ILN984050 IVI983042:IVJ984050 JFE983042:JFF984050 JPA983042:JPB984050 JYW983042:JYX984050 KIS983042:KIT984050 KSO983042:KSP984050 LCK983042:LCL984050 LMG983042:LMH984050 LWC983042:LWD984050 MFY983042:MFZ984050 MPU983042:MPV984050 MZQ983042:MZR984050 NJM983042:NJN984050 NTI983042:NTJ984050 ODE983042:ODF984050 ONA983042:ONB984050 OWW983042:OWX984050 PGS983042:PGT984050 PQO983042:PQP984050 QAK983042:QAL984050 QKG983042:QKH984050 QUC983042:QUD984050 RDY983042:RDZ984050 RNU983042:RNV984050 RXQ983042:RXR984050 SHM983042:SHN984050 SRI983042:SRJ984050 TBE983042:TBF984050 TLA983042:TLB984050 TUW983042:TUX984050 UES983042:UET984050 UOO983042:UOP984050 UYK983042:UYL984050 VIG983042:VIH984050 VSC983042:VSD984050 WBY983042:WBZ984050 WLU983042:WLV984050 WVQ983042:WVR984050">
      <formula1>True_False</formula1>
    </dataValidation>
    <dataValidation type="list" allowBlank="1" showInputMessage="1" showErrorMessage="1" sqref="H2:H1010 JD2:JD1010 SZ2:SZ1010 ACV2:ACV1010 AMR2:AMR1010 AWN2:AWN1010 BGJ2:BGJ1010 BQF2:BQF1010 CAB2:CAB1010 CJX2:CJX1010 CTT2:CTT1010 DDP2:DDP1010 DNL2:DNL1010 DXH2:DXH1010 EHD2:EHD1010 EQZ2:EQZ1010 FAV2:FAV1010 FKR2:FKR1010 FUN2:FUN1010 GEJ2:GEJ1010 GOF2:GOF1010 GYB2:GYB1010 HHX2:HHX1010 HRT2:HRT1010 IBP2:IBP1010 ILL2:ILL1010 IVH2:IVH1010 JFD2:JFD1010 JOZ2:JOZ1010 JYV2:JYV1010 KIR2:KIR1010 KSN2:KSN1010 LCJ2:LCJ1010 LMF2:LMF1010 LWB2:LWB1010 MFX2:MFX1010 MPT2:MPT1010 MZP2:MZP1010 NJL2:NJL1010 NTH2:NTH1010 ODD2:ODD1010 OMZ2:OMZ1010 OWV2:OWV1010 PGR2:PGR1010 PQN2:PQN1010 QAJ2:QAJ1010 QKF2:QKF1010 QUB2:QUB1010 RDX2:RDX1010 RNT2:RNT1010 RXP2:RXP1010 SHL2:SHL1010 SRH2:SRH1010 TBD2:TBD1010 TKZ2:TKZ1010 TUV2:TUV1010 UER2:UER1010 UON2:UON1010 UYJ2:UYJ1010 VIF2:VIF1010 VSB2:VSB1010 WBX2:WBX1010 WLT2:WLT1010 WVP2:WVP1010 H65538:H66546 JD65538:JD66546 SZ65538:SZ66546 ACV65538:ACV66546 AMR65538:AMR66546 AWN65538:AWN66546 BGJ65538:BGJ66546 BQF65538:BQF66546 CAB65538:CAB66546 CJX65538:CJX66546 CTT65538:CTT66546 DDP65538:DDP66546 DNL65538:DNL66546 DXH65538:DXH66546 EHD65538:EHD66546 EQZ65538:EQZ66546 FAV65538:FAV66546 FKR65538:FKR66546 FUN65538:FUN66546 GEJ65538:GEJ66546 GOF65538:GOF66546 GYB65538:GYB66546 HHX65538:HHX66546 HRT65538:HRT66546 IBP65538:IBP66546 ILL65538:ILL66546 IVH65538:IVH66546 JFD65538:JFD66546 JOZ65538:JOZ66546 JYV65538:JYV66546 KIR65538:KIR66546 KSN65538:KSN66546 LCJ65538:LCJ66546 LMF65538:LMF66546 LWB65538:LWB66546 MFX65538:MFX66546 MPT65538:MPT66546 MZP65538:MZP66546 NJL65538:NJL66546 NTH65538:NTH66546 ODD65538:ODD66546 OMZ65538:OMZ66546 OWV65538:OWV66546 PGR65538:PGR66546 PQN65538:PQN66546 QAJ65538:QAJ66546 QKF65538:QKF66546 QUB65538:QUB66546 RDX65538:RDX66546 RNT65538:RNT66546 RXP65538:RXP66546 SHL65538:SHL66546 SRH65538:SRH66546 TBD65538:TBD66546 TKZ65538:TKZ66546 TUV65538:TUV66546 UER65538:UER66546 UON65538:UON66546 UYJ65538:UYJ66546 VIF65538:VIF66546 VSB65538:VSB66546 WBX65538:WBX66546 WLT65538:WLT66546 WVP65538:WVP66546 H131074:H132082 JD131074:JD132082 SZ131074:SZ132082 ACV131074:ACV132082 AMR131074:AMR132082 AWN131074:AWN132082 BGJ131074:BGJ132082 BQF131074:BQF132082 CAB131074:CAB132082 CJX131074:CJX132082 CTT131074:CTT132082 DDP131074:DDP132082 DNL131074:DNL132082 DXH131074:DXH132082 EHD131074:EHD132082 EQZ131074:EQZ132082 FAV131074:FAV132082 FKR131074:FKR132082 FUN131074:FUN132082 GEJ131074:GEJ132082 GOF131074:GOF132082 GYB131074:GYB132082 HHX131074:HHX132082 HRT131074:HRT132082 IBP131074:IBP132082 ILL131074:ILL132082 IVH131074:IVH132082 JFD131074:JFD132082 JOZ131074:JOZ132082 JYV131074:JYV132082 KIR131074:KIR132082 KSN131074:KSN132082 LCJ131074:LCJ132082 LMF131074:LMF132082 LWB131074:LWB132082 MFX131074:MFX132082 MPT131074:MPT132082 MZP131074:MZP132082 NJL131074:NJL132082 NTH131074:NTH132082 ODD131074:ODD132082 OMZ131074:OMZ132082 OWV131074:OWV132082 PGR131074:PGR132082 PQN131074:PQN132082 QAJ131074:QAJ132082 QKF131074:QKF132082 QUB131074:QUB132082 RDX131074:RDX132082 RNT131074:RNT132082 RXP131074:RXP132082 SHL131074:SHL132082 SRH131074:SRH132082 TBD131074:TBD132082 TKZ131074:TKZ132082 TUV131074:TUV132082 UER131074:UER132082 UON131074:UON132082 UYJ131074:UYJ132082 VIF131074:VIF132082 VSB131074:VSB132082 WBX131074:WBX132082 WLT131074:WLT132082 WVP131074:WVP132082 H196610:H197618 JD196610:JD197618 SZ196610:SZ197618 ACV196610:ACV197618 AMR196610:AMR197618 AWN196610:AWN197618 BGJ196610:BGJ197618 BQF196610:BQF197618 CAB196610:CAB197618 CJX196610:CJX197618 CTT196610:CTT197618 DDP196610:DDP197618 DNL196610:DNL197618 DXH196610:DXH197618 EHD196610:EHD197618 EQZ196610:EQZ197618 FAV196610:FAV197618 FKR196610:FKR197618 FUN196610:FUN197618 GEJ196610:GEJ197618 GOF196610:GOF197618 GYB196610:GYB197618 HHX196610:HHX197618 HRT196610:HRT197618 IBP196610:IBP197618 ILL196610:ILL197618 IVH196610:IVH197618 JFD196610:JFD197618 JOZ196610:JOZ197618 JYV196610:JYV197618 KIR196610:KIR197618 KSN196610:KSN197618 LCJ196610:LCJ197618 LMF196610:LMF197618 LWB196610:LWB197618 MFX196610:MFX197618 MPT196610:MPT197618 MZP196610:MZP197618 NJL196610:NJL197618 NTH196610:NTH197618 ODD196610:ODD197618 OMZ196610:OMZ197618 OWV196610:OWV197618 PGR196610:PGR197618 PQN196610:PQN197618 QAJ196610:QAJ197618 QKF196610:QKF197618 QUB196610:QUB197618 RDX196610:RDX197618 RNT196610:RNT197618 RXP196610:RXP197618 SHL196610:SHL197618 SRH196610:SRH197618 TBD196610:TBD197618 TKZ196610:TKZ197618 TUV196610:TUV197618 UER196610:UER197618 UON196610:UON197618 UYJ196610:UYJ197618 VIF196610:VIF197618 VSB196610:VSB197618 WBX196610:WBX197618 WLT196610:WLT197618 WVP196610:WVP197618 H262146:H263154 JD262146:JD263154 SZ262146:SZ263154 ACV262146:ACV263154 AMR262146:AMR263154 AWN262146:AWN263154 BGJ262146:BGJ263154 BQF262146:BQF263154 CAB262146:CAB263154 CJX262146:CJX263154 CTT262146:CTT263154 DDP262146:DDP263154 DNL262146:DNL263154 DXH262146:DXH263154 EHD262146:EHD263154 EQZ262146:EQZ263154 FAV262146:FAV263154 FKR262146:FKR263154 FUN262146:FUN263154 GEJ262146:GEJ263154 GOF262146:GOF263154 GYB262146:GYB263154 HHX262146:HHX263154 HRT262146:HRT263154 IBP262146:IBP263154 ILL262146:ILL263154 IVH262146:IVH263154 JFD262146:JFD263154 JOZ262146:JOZ263154 JYV262146:JYV263154 KIR262146:KIR263154 KSN262146:KSN263154 LCJ262146:LCJ263154 LMF262146:LMF263154 LWB262146:LWB263154 MFX262146:MFX263154 MPT262146:MPT263154 MZP262146:MZP263154 NJL262146:NJL263154 NTH262146:NTH263154 ODD262146:ODD263154 OMZ262146:OMZ263154 OWV262146:OWV263154 PGR262146:PGR263154 PQN262146:PQN263154 QAJ262146:QAJ263154 QKF262146:QKF263154 QUB262146:QUB263154 RDX262146:RDX263154 RNT262146:RNT263154 RXP262146:RXP263154 SHL262146:SHL263154 SRH262146:SRH263154 TBD262146:TBD263154 TKZ262146:TKZ263154 TUV262146:TUV263154 UER262146:UER263154 UON262146:UON263154 UYJ262146:UYJ263154 VIF262146:VIF263154 VSB262146:VSB263154 WBX262146:WBX263154 WLT262146:WLT263154 WVP262146:WVP263154 H327682:H328690 JD327682:JD328690 SZ327682:SZ328690 ACV327682:ACV328690 AMR327682:AMR328690 AWN327682:AWN328690 BGJ327682:BGJ328690 BQF327682:BQF328690 CAB327682:CAB328690 CJX327682:CJX328690 CTT327682:CTT328690 DDP327682:DDP328690 DNL327682:DNL328690 DXH327682:DXH328690 EHD327682:EHD328690 EQZ327682:EQZ328690 FAV327682:FAV328690 FKR327682:FKR328690 FUN327682:FUN328690 GEJ327682:GEJ328690 GOF327682:GOF328690 GYB327682:GYB328690 HHX327682:HHX328690 HRT327682:HRT328690 IBP327682:IBP328690 ILL327682:ILL328690 IVH327682:IVH328690 JFD327682:JFD328690 JOZ327682:JOZ328690 JYV327682:JYV328690 KIR327682:KIR328690 KSN327682:KSN328690 LCJ327682:LCJ328690 LMF327682:LMF328690 LWB327682:LWB328690 MFX327682:MFX328690 MPT327682:MPT328690 MZP327682:MZP328690 NJL327682:NJL328690 NTH327682:NTH328690 ODD327682:ODD328690 OMZ327682:OMZ328690 OWV327682:OWV328690 PGR327682:PGR328690 PQN327682:PQN328690 QAJ327682:QAJ328690 QKF327682:QKF328690 QUB327682:QUB328690 RDX327682:RDX328690 RNT327682:RNT328690 RXP327682:RXP328690 SHL327682:SHL328690 SRH327682:SRH328690 TBD327682:TBD328690 TKZ327682:TKZ328690 TUV327682:TUV328690 UER327682:UER328690 UON327682:UON328690 UYJ327682:UYJ328690 VIF327682:VIF328690 VSB327682:VSB328690 WBX327682:WBX328690 WLT327682:WLT328690 WVP327682:WVP328690 H393218:H394226 JD393218:JD394226 SZ393218:SZ394226 ACV393218:ACV394226 AMR393218:AMR394226 AWN393218:AWN394226 BGJ393218:BGJ394226 BQF393218:BQF394226 CAB393218:CAB394226 CJX393218:CJX394226 CTT393218:CTT394226 DDP393218:DDP394226 DNL393218:DNL394226 DXH393218:DXH394226 EHD393218:EHD394226 EQZ393218:EQZ394226 FAV393218:FAV394226 FKR393218:FKR394226 FUN393218:FUN394226 GEJ393218:GEJ394226 GOF393218:GOF394226 GYB393218:GYB394226 HHX393218:HHX394226 HRT393218:HRT394226 IBP393218:IBP394226 ILL393218:ILL394226 IVH393218:IVH394226 JFD393218:JFD394226 JOZ393218:JOZ394226 JYV393218:JYV394226 KIR393218:KIR394226 KSN393218:KSN394226 LCJ393218:LCJ394226 LMF393218:LMF394226 LWB393218:LWB394226 MFX393218:MFX394226 MPT393218:MPT394226 MZP393218:MZP394226 NJL393218:NJL394226 NTH393218:NTH394226 ODD393218:ODD394226 OMZ393218:OMZ394226 OWV393218:OWV394226 PGR393218:PGR394226 PQN393218:PQN394226 QAJ393218:QAJ394226 QKF393218:QKF394226 QUB393218:QUB394226 RDX393218:RDX394226 RNT393218:RNT394226 RXP393218:RXP394226 SHL393218:SHL394226 SRH393218:SRH394226 TBD393218:TBD394226 TKZ393218:TKZ394226 TUV393218:TUV394226 UER393218:UER394226 UON393218:UON394226 UYJ393218:UYJ394226 VIF393218:VIF394226 VSB393218:VSB394226 WBX393218:WBX394226 WLT393218:WLT394226 WVP393218:WVP394226 H458754:H459762 JD458754:JD459762 SZ458754:SZ459762 ACV458754:ACV459762 AMR458754:AMR459762 AWN458754:AWN459762 BGJ458754:BGJ459762 BQF458754:BQF459762 CAB458754:CAB459762 CJX458754:CJX459762 CTT458754:CTT459762 DDP458754:DDP459762 DNL458754:DNL459762 DXH458754:DXH459762 EHD458754:EHD459762 EQZ458754:EQZ459762 FAV458754:FAV459762 FKR458754:FKR459762 FUN458754:FUN459762 GEJ458754:GEJ459762 GOF458754:GOF459762 GYB458754:GYB459762 HHX458754:HHX459762 HRT458754:HRT459762 IBP458754:IBP459762 ILL458754:ILL459762 IVH458754:IVH459762 JFD458754:JFD459762 JOZ458754:JOZ459762 JYV458754:JYV459762 KIR458754:KIR459762 KSN458754:KSN459762 LCJ458754:LCJ459762 LMF458754:LMF459762 LWB458754:LWB459762 MFX458754:MFX459762 MPT458754:MPT459762 MZP458754:MZP459762 NJL458754:NJL459762 NTH458754:NTH459762 ODD458754:ODD459762 OMZ458754:OMZ459762 OWV458754:OWV459762 PGR458754:PGR459762 PQN458754:PQN459762 QAJ458754:QAJ459762 QKF458754:QKF459762 QUB458754:QUB459762 RDX458754:RDX459762 RNT458754:RNT459762 RXP458754:RXP459762 SHL458754:SHL459762 SRH458754:SRH459762 TBD458754:TBD459762 TKZ458754:TKZ459762 TUV458754:TUV459762 UER458754:UER459762 UON458754:UON459762 UYJ458754:UYJ459762 VIF458754:VIF459762 VSB458754:VSB459762 WBX458754:WBX459762 WLT458754:WLT459762 WVP458754:WVP459762 H524290:H525298 JD524290:JD525298 SZ524290:SZ525298 ACV524290:ACV525298 AMR524290:AMR525298 AWN524290:AWN525298 BGJ524290:BGJ525298 BQF524290:BQF525298 CAB524290:CAB525298 CJX524290:CJX525298 CTT524290:CTT525298 DDP524290:DDP525298 DNL524290:DNL525298 DXH524290:DXH525298 EHD524290:EHD525298 EQZ524290:EQZ525298 FAV524290:FAV525298 FKR524290:FKR525298 FUN524290:FUN525298 GEJ524290:GEJ525298 GOF524290:GOF525298 GYB524290:GYB525298 HHX524290:HHX525298 HRT524290:HRT525298 IBP524290:IBP525298 ILL524290:ILL525298 IVH524290:IVH525298 JFD524290:JFD525298 JOZ524290:JOZ525298 JYV524290:JYV525298 KIR524290:KIR525298 KSN524290:KSN525298 LCJ524290:LCJ525298 LMF524290:LMF525298 LWB524290:LWB525298 MFX524290:MFX525298 MPT524290:MPT525298 MZP524290:MZP525298 NJL524290:NJL525298 NTH524290:NTH525298 ODD524290:ODD525298 OMZ524290:OMZ525298 OWV524290:OWV525298 PGR524290:PGR525298 PQN524290:PQN525298 QAJ524290:QAJ525298 QKF524290:QKF525298 QUB524290:QUB525298 RDX524290:RDX525298 RNT524290:RNT525298 RXP524290:RXP525298 SHL524290:SHL525298 SRH524290:SRH525298 TBD524290:TBD525298 TKZ524290:TKZ525298 TUV524290:TUV525298 UER524290:UER525298 UON524290:UON525298 UYJ524290:UYJ525298 VIF524290:VIF525298 VSB524290:VSB525298 WBX524290:WBX525298 WLT524290:WLT525298 WVP524290:WVP525298 H589826:H590834 JD589826:JD590834 SZ589826:SZ590834 ACV589826:ACV590834 AMR589826:AMR590834 AWN589826:AWN590834 BGJ589826:BGJ590834 BQF589826:BQF590834 CAB589826:CAB590834 CJX589826:CJX590834 CTT589826:CTT590834 DDP589826:DDP590834 DNL589826:DNL590834 DXH589826:DXH590834 EHD589826:EHD590834 EQZ589826:EQZ590834 FAV589826:FAV590834 FKR589826:FKR590834 FUN589826:FUN590834 GEJ589826:GEJ590834 GOF589826:GOF590834 GYB589826:GYB590834 HHX589826:HHX590834 HRT589826:HRT590834 IBP589826:IBP590834 ILL589826:ILL590834 IVH589826:IVH590834 JFD589826:JFD590834 JOZ589826:JOZ590834 JYV589826:JYV590834 KIR589826:KIR590834 KSN589826:KSN590834 LCJ589826:LCJ590834 LMF589826:LMF590834 LWB589826:LWB590834 MFX589826:MFX590834 MPT589826:MPT590834 MZP589826:MZP590834 NJL589826:NJL590834 NTH589826:NTH590834 ODD589826:ODD590834 OMZ589826:OMZ590834 OWV589826:OWV590834 PGR589826:PGR590834 PQN589826:PQN590834 QAJ589826:QAJ590834 QKF589826:QKF590834 QUB589826:QUB590834 RDX589826:RDX590834 RNT589826:RNT590834 RXP589826:RXP590834 SHL589826:SHL590834 SRH589826:SRH590834 TBD589826:TBD590834 TKZ589826:TKZ590834 TUV589826:TUV590834 UER589826:UER590834 UON589826:UON590834 UYJ589826:UYJ590834 VIF589826:VIF590834 VSB589826:VSB590834 WBX589826:WBX590834 WLT589826:WLT590834 WVP589826:WVP590834 H655362:H656370 JD655362:JD656370 SZ655362:SZ656370 ACV655362:ACV656370 AMR655362:AMR656370 AWN655362:AWN656370 BGJ655362:BGJ656370 BQF655362:BQF656370 CAB655362:CAB656370 CJX655362:CJX656370 CTT655362:CTT656370 DDP655362:DDP656370 DNL655362:DNL656370 DXH655362:DXH656370 EHD655362:EHD656370 EQZ655362:EQZ656370 FAV655362:FAV656370 FKR655362:FKR656370 FUN655362:FUN656370 GEJ655362:GEJ656370 GOF655362:GOF656370 GYB655362:GYB656370 HHX655362:HHX656370 HRT655362:HRT656370 IBP655362:IBP656370 ILL655362:ILL656370 IVH655362:IVH656370 JFD655362:JFD656370 JOZ655362:JOZ656370 JYV655362:JYV656370 KIR655362:KIR656370 KSN655362:KSN656370 LCJ655362:LCJ656370 LMF655362:LMF656370 LWB655362:LWB656370 MFX655362:MFX656370 MPT655362:MPT656370 MZP655362:MZP656370 NJL655362:NJL656370 NTH655362:NTH656370 ODD655362:ODD656370 OMZ655362:OMZ656370 OWV655362:OWV656370 PGR655362:PGR656370 PQN655362:PQN656370 QAJ655362:QAJ656370 QKF655362:QKF656370 QUB655362:QUB656370 RDX655362:RDX656370 RNT655362:RNT656370 RXP655362:RXP656370 SHL655362:SHL656370 SRH655362:SRH656370 TBD655362:TBD656370 TKZ655362:TKZ656370 TUV655362:TUV656370 UER655362:UER656370 UON655362:UON656370 UYJ655362:UYJ656370 VIF655362:VIF656370 VSB655362:VSB656370 WBX655362:WBX656370 WLT655362:WLT656370 WVP655362:WVP656370 H720898:H721906 JD720898:JD721906 SZ720898:SZ721906 ACV720898:ACV721906 AMR720898:AMR721906 AWN720898:AWN721906 BGJ720898:BGJ721906 BQF720898:BQF721906 CAB720898:CAB721906 CJX720898:CJX721906 CTT720898:CTT721906 DDP720898:DDP721906 DNL720898:DNL721906 DXH720898:DXH721906 EHD720898:EHD721906 EQZ720898:EQZ721906 FAV720898:FAV721906 FKR720898:FKR721906 FUN720898:FUN721906 GEJ720898:GEJ721906 GOF720898:GOF721906 GYB720898:GYB721906 HHX720898:HHX721906 HRT720898:HRT721906 IBP720898:IBP721906 ILL720898:ILL721906 IVH720898:IVH721906 JFD720898:JFD721906 JOZ720898:JOZ721906 JYV720898:JYV721906 KIR720898:KIR721906 KSN720898:KSN721906 LCJ720898:LCJ721906 LMF720898:LMF721906 LWB720898:LWB721906 MFX720898:MFX721906 MPT720898:MPT721906 MZP720898:MZP721906 NJL720898:NJL721906 NTH720898:NTH721906 ODD720898:ODD721906 OMZ720898:OMZ721906 OWV720898:OWV721906 PGR720898:PGR721906 PQN720898:PQN721906 QAJ720898:QAJ721906 QKF720898:QKF721906 QUB720898:QUB721906 RDX720898:RDX721906 RNT720898:RNT721906 RXP720898:RXP721906 SHL720898:SHL721906 SRH720898:SRH721906 TBD720898:TBD721906 TKZ720898:TKZ721906 TUV720898:TUV721906 UER720898:UER721906 UON720898:UON721906 UYJ720898:UYJ721906 VIF720898:VIF721906 VSB720898:VSB721906 WBX720898:WBX721906 WLT720898:WLT721906 WVP720898:WVP721906 H786434:H787442 JD786434:JD787442 SZ786434:SZ787442 ACV786434:ACV787442 AMR786434:AMR787442 AWN786434:AWN787442 BGJ786434:BGJ787442 BQF786434:BQF787442 CAB786434:CAB787442 CJX786434:CJX787442 CTT786434:CTT787442 DDP786434:DDP787442 DNL786434:DNL787442 DXH786434:DXH787442 EHD786434:EHD787442 EQZ786434:EQZ787442 FAV786434:FAV787442 FKR786434:FKR787442 FUN786434:FUN787442 GEJ786434:GEJ787442 GOF786434:GOF787442 GYB786434:GYB787442 HHX786434:HHX787442 HRT786434:HRT787442 IBP786434:IBP787442 ILL786434:ILL787442 IVH786434:IVH787442 JFD786434:JFD787442 JOZ786434:JOZ787442 JYV786434:JYV787442 KIR786434:KIR787442 KSN786434:KSN787442 LCJ786434:LCJ787442 LMF786434:LMF787442 LWB786434:LWB787442 MFX786434:MFX787442 MPT786434:MPT787442 MZP786434:MZP787442 NJL786434:NJL787442 NTH786434:NTH787442 ODD786434:ODD787442 OMZ786434:OMZ787442 OWV786434:OWV787442 PGR786434:PGR787442 PQN786434:PQN787442 QAJ786434:QAJ787442 QKF786434:QKF787442 QUB786434:QUB787442 RDX786434:RDX787442 RNT786434:RNT787442 RXP786434:RXP787442 SHL786434:SHL787442 SRH786434:SRH787442 TBD786434:TBD787442 TKZ786434:TKZ787442 TUV786434:TUV787442 UER786434:UER787442 UON786434:UON787442 UYJ786434:UYJ787442 VIF786434:VIF787442 VSB786434:VSB787442 WBX786434:WBX787442 WLT786434:WLT787442 WVP786434:WVP787442 H851970:H852978 JD851970:JD852978 SZ851970:SZ852978 ACV851970:ACV852978 AMR851970:AMR852978 AWN851970:AWN852978 BGJ851970:BGJ852978 BQF851970:BQF852978 CAB851970:CAB852978 CJX851970:CJX852978 CTT851970:CTT852978 DDP851970:DDP852978 DNL851970:DNL852978 DXH851970:DXH852978 EHD851970:EHD852978 EQZ851970:EQZ852978 FAV851970:FAV852978 FKR851970:FKR852978 FUN851970:FUN852978 GEJ851970:GEJ852978 GOF851970:GOF852978 GYB851970:GYB852978 HHX851970:HHX852978 HRT851970:HRT852978 IBP851970:IBP852978 ILL851970:ILL852978 IVH851970:IVH852978 JFD851970:JFD852978 JOZ851970:JOZ852978 JYV851970:JYV852978 KIR851970:KIR852978 KSN851970:KSN852978 LCJ851970:LCJ852978 LMF851970:LMF852978 LWB851970:LWB852978 MFX851970:MFX852978 MPT851970:MPT852978 MZP851970:MZP852978 NJL851970:NJL852978 NTH851970:NTH852978 ODD851970:ODD852978 OMZ851970:OMZ852978 OWV851970:OWV852978 PGR851970:PGR852978 PQN851970:PQN852978 QAJ851970:QAJ852978 QKF851970:QKF852978 QUB851970:QUB852978 RDX851970:RDX852978 RNT851970:RNT852978 RXP851970:RXP852978 SHL851970:SHL852978 SRH851970:SRH852978 TBD851970:TBD852978 TKZ851970:TKZ852978 TUV851970:TUV852978 UER851970:UER852978 UON851970:UON852978 UYJ851970:UYJ852978 VIF851970:VIF852978 VSB851970:VSB852978 WBX851970:WBX852978 WLT851970:WLT852978 WVP851970:WVP852978 H917506:H918514 JD917506:JD918514 SZ917506:SZ918514 ACV917506:ACV918514 AMR917506:AMR918514 AWN917506:AWN918514 BGJ917506:BGJ918514 BQF917506:BQF918514 CAB917506:CAB918514 CJX917506:CJX918514 CTT917506:CTT918514 DDP917506:DDP918514 DNL917506:DNL918514 DXH917506:DXH918514 EHD917506:EHD918514 EQZ917506:EQZ918514 FAV917506:FAV918514 FKR917506:FKR918514 FUN917506:FUN918514 GEJ917506:GEJ918514 GOF917506:GOF918514 GYB917506:GYB918514 HHX917506:HHX918514 HRT917506:HRT918514 IBP917506:IBP918514 ILL917506:ILL918514 IVH917506:IVH918514 JFD917506:JFD918514 JOZ917506:JOZ918514 JYV917506:JYV918514 KIR917506:KIR918514 KSN917506:KSN918514 LCJ917506:LCJ918514 LMF917506:LMF918514 LWB917506:LWB918514 MFX917506:MFX918514 MPT917506:MPT918514 MZP917506:MZP918514 NJL917506:NJL918514 NTH917506:NTH918514 ODD917506:ODD918514 OMZ917506:OMZ918514 OWV917506:OWV918514 PGR917506:PGR918514 PQN917506:PQN918514 QAJ917506:QAJ918514 QKF917506:QKF918514 QUB917506:QUB918514 RDX917506:RDX918514 RNT917506:RNT918514 RXP917506:RXP918514 SHL917506:SHL918514 SRH917506:SRH918514 TBD917506:TBD918514 TKZ917506:TKZ918514 TUV917506:TUV918514 UER917506:UER918514 UON917506:UON918514 UYJ917506:UYJ918514 VIF917506:VIF918514 VSB917506:VSB918514 WBX917506:WBX918514 WLT917506:WLT918514 WVP917506:WVP918514 H983042:H984050 JD983042:JD984050 SZ983042:SZ984050 ACV983042:ACV984050 AMR983042:AMR984050 AWN983042:AWN984050 BGJ983042:BGJ984050 BQF983042:BQF984050 CAB983042:CAB984050 CJX983042:CJX984050 CTT983042:CTT984050 DDP983042:DDP984050 DNL983042:DNL984050 DXH983042:DXH984050 EHD983042:EHD984050 EQZ983042:EQZ984050 FAV983042:FAV984050 FKR983042:FKR984050 FUN983042:FUN984050 GEJ983042:GEJ984050 GOF983042:GOF984050 GYB983042:GYB984050 HHX983042:HHX984050 HRT983042:HRT984050 IBP983042:IBP984050 ILL983042:ILL984050 IVH983042:IVH984050 JFD983042:JFD984050 JOZ983042:JOZ984050 JYV983042:JYV984050 KIR983042:KIR984050 KSN983042:KSN984050 LCJ983042:LCJ984050 LMF983042:LMF984050 LWB983042:LWB984050 MFX983042:MFX984050 MPT983042:MPT984050 MZP983042:MZP984050 NJL983042:NJL984050 NTH983042:NTH984050 ODD983042:ODD984050 OMZ983042:OMZ984050 OWV983042:OWV984050 PGR983042:PGR984050 PQN983042:PQN984050 QAJ983042:QAJ984050 QKF983042:QKF984050 QUB983042:QUB984050 RDX983042:RDX984050 RNT983042:RNT984050 RXP983042:RXP984050 SHL983042:SHL984050 SRH983042:SRH984050 TBD983042:TBD984050 TKZ983042:TKZ984050 TUV983042:TUV984050 UER983042:UER984050 UON983042:UON984050 UYJ983042:UYJ984050 VIF983042:VIF984050 VSB983042:VSB984050 WBX983042:WBX984050 WLT983042:WLT984050 WVP983042:WVP984050">
      <formula1>PreCheck</formula1>
    </dataValidation>
    <dataValidation type="list" allowBlank="1" showInputMessage="1" showErrorMessage="1" sqref="F2:F1010 JB2:JB1010 SX2:SX1010 ACT2:ACT1010 AMP2:AMP1010 AWL2:AWL1010 BGH2:BGH1010 BQD2:BQD1010 BZZ2:BZZ1010 CJV2:CJV1010 CTR2:CTR1010 DDN2:DDN1010 DNJ2:DNJ1010 DXF2:DXF1010 EHB2:EHB1010 EQX2:EQX1010 FAT2:FAT1010 FKP2:FKP1010 FUL2:FUL1010 GEH2:GEH1010 GOD2:GOD1010 GXZ2:GXZ1010 HHV2:HHV1010 HRR2:HRR1010 IBN2:IBN1010 ILJ2:ILJ1010 IVF2:IVF1010 JFB2:JFB1010 JOX2:JOX1010 JYT2:JYT1010 KIP2:KIP1010 KSL2:KSL1010 LCH2:LCH1010 LMD2:LMD1010 LVZ2:LVZ1010 MFV2:MFV1010 MPR2:MPR1010 MZN2:MZN1010 NJJ2:NJJ1010 NTF2:NTF1010 ODB2:ODB1010 OMX2:OMX1010 OWT2:OWT1010 PGP2:PGP1010 PQL2:PQL1010 QAH2:QAH1010 QKD2:QKD1010 QTZ2:QTZ1010 RDV2:RDV1010 RNR2:RNR1010 RXN2:RXN1010 SHJ2:SHJ1010 SRF2:SRF1010 TBB2:TBB1010 TKX2:TKX1010 TUT2:TUT1010 UEP2:UEP1010 UOL2:UOL1010 UYH2:UYH1010 VID2:VID1010 VRZ2:VRZ1010 WBV2:WBV1010 WLR2:WLR1010 WVN2:WVN1010 F65538:F66546 JB65538:JB66546 SX65538:SX66546 ACT65538:ACT66546 AMP65538:AMP66546 AWL65538:AWL66546 BGH65538:BGH66546 BQD65538:BQD66546 BZZ65538:BZZ66546 CJV65538:CJV66546 CTR65538:CTR66546 DDN65538:DDN66546 DNJ65538:DNJ66546 DXF65538:DXF66546 EHB65538:EHB66546 EQX65538:EQX66546 FAT65538:FAT66546 FKP65538:FKP66546 FUL65538:FUL66546 GEH65538:GEH66546 GOD65538:GOD66546 GXZ65538:GXZ66546 HHV65538:HHV66546 HRR65538:HRR66546 IBN65538:IBN66546 ILJ65538:ILJ66546 IVF65538:IVF66546 JFB65538:JFB66546 JOX65538:JOX66546 JYT65538:JYT66546 KIP65538:KIP66546 KSL65538:KSL66546 LCH65538:LCH66546 LMD65538:LMD66546 LVZ65538:LVZ66546 MFV65538:MFV66546 MPR65538:MPR66546 MZN65538:MZN66546 NJJ65538:NJJ66546 NTF65538:NTF66546 ODB65538:ODB66546 OMX65538:OMX66546 OWT65538:OWT66546 PGP65538:PGP66546 PQL65538:PQL66546 QAH65538:QAH66546 QKD65538:QKD66546 QTZ65538:QTZ66546 RDV65538:RDV66546 RNR65538:RNR66546 RXN65538:RXN66546 SHJ65538:SHJ66546 SRF65538:SRF66546 TBB65538:TBB66546 TKX65538:TKX66546 TUT65538:TUT66546 UEP65538:UEP66546 UOL65538:UOL66546 UYH65538:UYH66546 VID65538:VID66546 VRZ65538:VRZ66546 WBV65538:WBV66546 WLR65538:WLR66546 WVN65538:WVN66546 F131074:F132082 JB131074:JB132082 SX131074:SX132082 ACT131074:ACT132082 AMP131074:AMP132082 AWL131074:AWL132082 BGH131074:BGH132082 BQD131074:BQD132082 BZZ131074:BZZ132082 CJV131074:CJV132082 CTR131074:CTR132082 DDN131074:DDN132082 DNJ131074:DNJ132082 DXF131074:DXF132082 EHB131074:EHB132082 EQX131074:EQX132082 FAT131074:FAT132082 FKP131074:FKP132082 FUL131074:FUL132082 GEH131074:GEH132082 GOD131074:GOD132082 GXZ131074:GXZ132082 HHV131074:HHV132082 HRR131074:HRR132082 IBN131074:IBN132082 ILJ131074:ILJ132082 IVF131074:IVF132082 JFB131074:JFB132082 JOX131074:JOX132082 JYT131074:JYT132082 KIP131074:KIP132082 KSL131074:KSL132082 LCH131074:LCH132082 LMD131074:LMD132082 LVZ131074:LVZ132082 MFV131074:MFV132082 MPR131074:MPR132082 MZN131074:MZN132082 NJJ131074:NJJ132082 NTF131074:NTF132082 ODB131074:ODB132082 OMX131074:OMX132082 OWT131074:OWT132082 PGP131074:PGP132082 PQL131074:PQL132082 QAH131074:QAH132082 QKD131074:QKD132082 QTZ131074:QTZ132082 RDV131074:RDV132082 RNR131074:RNR132082 RXN131074:RXN132082 SHJ131074:SHJ132082 SRF131074:SRF132082 TBB131074:TBB132082 TKX131074:TKX132082 TUT131074:TUT132082 UEP131074:UEP132082 UOL131074:UOL132082 UYH131074:UYH132082 VID131074:VID132082 VRZ131074:VRZ132082 WBV131074:WBV132082 WLR131074:WLR132082 WVN131074:WVN132082 F196610:F197618 JB196610:JB197618 SX196610:SX197618 ACT196610:ACT197618 AMP196610:AMP197618 AWL196610:AWL197618 BGH196610:BGH197618 BQD196610:BQD197618 BZZ196610:BZZ197618 CJV196610:CJV197618 CTR196610:CTR197618 DDN196610:DDN197618 DNJ196610:DNJ197618 DXF196610:DXF197618 EHB196610:EHB197618 EQX196610:EQX197618 FAT196610:FAT197618 FKP196610:FKP197618 FUL196610:FUL197618 GEH196610:GEH197618 GOD196610:GOD197618 GXZ196610:GXZ197618 HHV196610:HHV197618 HRR196610:HRR197618 IBN196610:IBN197618 ILJ196610:ILJ197618 IVF196610:IVF197618 JFB196610:JFB197618 JOX196610:JOX197618 JYT196610:JYT197618 KIP196610:KIP197618 KSL196610:KSL197618 LCH196610:LCH197618 LMD196610:LMD197618 LVZ196610:LVZ197618 MFV196610:MFV197618 MPR196610:MPR197618 MZN196610:MZN197618 NJJ196610:NJJ197618 NTF196610:NTF197618 ODB196610:ODB197618 OMX196610:OMX197618 OWT196610:OWT197618 PGP196610:PGP197618 PQL196610:PQL197618 QAH196610:QAH197618 QKD196610:QKD197618 QTZ196610:QTZ197618 RDV196610:RDV197618 RNR196610:RNR197618 RXN196610:RXN197618 SHJ196610:SHJ197618 SRF196610:SRF197618 TBB196610:TBB197618 TKX196610:TKX197618 TUT196610:TUT197618 UEP196610:UEP197618 UOL196610:UOL197618 UYH196610:UYH197618 VID196610:VID197618 VRZ196610:VRZ197618 WBV196610:WBV197618 WLR196610:WLR197618 WVN196610:WVN197618 F262146:F263154 JB262146:JB263154 SX262146:SX263154 ACT262146:ACT263154 AMP262146:AMP263154 AWL262146:AWL263154 BGH262146:BGH263154 BQD262146:BQD263154 BZZ262146:BZZ263154 CJV262146:CJV263154 CTR262146:CTR263154 DDN262146:DDN263154 DNJ262146:DNJ263154 DXF262146:DXF263154 EHB262146:EHB263154 EQX262146:EQX263154 FAT262146:FAT263154 FKP262146:FKP263154 FUL262146:FUL263154 GEH262146:GEH263154 GOD262146:GOD263154 GXZ262146:GXZ263154 HHV262146:HHV263154 HRR262146:HRR263154 IBN262146:IBN263154 ILJ262146:ILJ263154 IVF262146:IVF263154 JFB262146:JFB263154 JOX262146:JOX263154 JYT262146:JYT263154 KIP262146:KIP263154 KSL262146:KSL263154 LCH262146:LCH263154 LMD262146:LMD263154 LVZ262146:LVZ263154 MFV262146:MFV263154 MPR262146:MPR263154 MZN262146:MZN263154 NJJ262146:NJJ263154 NTF262146:NTF263154 ODB262146:ODB263154 OMX262146:OMX263154 OWT262146:OWT263154 PGP262146:PGP263154 PQL262146:PQL263154 QAH262146:QAH263154 QKD262146:QKD263154 QTZ262146:QTZ263154 RDV262146:RDV263154 RNR262146:RNR263154 RXN262146:RXN263154 SHJ262146:SHJ263154 SRF262146:SRF263154 TBB262146:TBB263154 TKX262146:TKX263154 TUT262146:TUT263154 UEP262146:UEP263154 UOL262146:UOL263154 UYH262146:UYH263154 VID262146:VID263154 VRZ262146:VRZ263154 WBV262146:WBV263154 WLR262146:WLR263154 WVN262146:WVN263154 F327682:F328690 JB327682:JB328690 SX327682:SX328690 ACT327682:ACT328690 AMP327682:AMP328690 AWL327682:AWL328690 BGH327682:BGH328690 BQD327682:BQD328690 BZZ327682:BZZ328690 CJV327682:CJV328690 CTR327682:CTR328690 DDN327682:DDN328690 DNJ327682:DNJ328690 DXF327682:DXF328690 EHB327682:EHB328690 EQX327682:EQX328690 FAT327682:FAT328690 FKP327682:FKP328690 FUL327682:FUL328690 GEH327682:GEH328690 GOD327682:GOD328690 GXZ327682:GXZ328690 HHV327682:HHV328690 HRR327682:HRR328690 IBN327682:IBN328690 ILJ327682:ILJ328690 IVF327682:IVF328690 JFB327682:JFB328690 JOX327682:JOX328690 JYT327682:JYT328690 KIP327682:KIP328690 KSL327682:KSL328690 LCH327682:LCH328690 LMD327682:LMD328690 LVZ327682:LVZ328690 MFV327682:MFV328690 MPR327682:MPR328690 MZN327682:MZN328690 NJJ327682:NJJ328690 NTF327682:NTF328690 ODB327682:ODB328690 OMX327682:OMX328690 OWT327682:OWT328690 PGP327682:PGP328690 PQL327682:PQL328690 QAH327682:QAH328690 QKD327682:QKD328690 QTZ327682:QTZ328690 RDV327682:RDV328690 RNR327682:RNR328690 RXN327682:RXN328690 SHJ327682:SHJ328690 SRF327682:SRF328690 TBB327682:TBB328690 TKX327682:TKX328690 TUT327682:TUT328690 UEP327682:UEP328690 UOL327682:UOL328690 UYH327682:UYH328690 VID327682:VID328690 VRZ327682:VRZ328690 WBV327682:WBV328690 WLR327682:WLR328690 WVN327682:WVN328690 F393218:F394226 JB393218:JB394226 SX393218:SX394226 ACT393218:ACT394226 AMP393218:AMP394226 AWL393218:AWL394226 BGH393218:BGH394226 BQD393218:BQD394226 BZZ393218:BZZ394226 CJV393218:CJV394226 CTR393218:CTR394226 DDN393218:DDN394226 DNJ393218:DNJ394226 DXF393218:DXF394226 EHB393218:EHB394226 EQX393218:EQX394226 FAT393218:FAT394226 FKP393218:FKP394226 FUL393218:FUL394226 GEH393218:GEH394226 GOD393218:GOD394226 GXZ393218:GXZ394226 HHV393218:HHV394226 HRR393218:HRR394226 IBN393218:IBN394226 ILJ393218:ILJ394226 IVF393218:IVF394226 JFB393218:JFB394226 JOX393218:JOX394226 JYT393218:JYT394226 KIP393218:KIP394226 KSL393218:KSL394226 LCH393218:LCH394226 LMD393218:LMD394226 LVZ393218:LVZ394226 MFV393218:MFV394226 MPR393218:MPR394226 MZN393218:MZN394226 NJJ393218:NJJ394226 NTF393218:NTF394226 ODB393218:ODB394226 OMX393218:OMX394226 OWT393218:OWT394226 PGP393218:PGP394226 PQL393218:PQL394226 QAH393218:QAH394226 QKD393218:QKD394226 QTZ393218:QTZ394226 RDV393218:RDV394226 RNR393218:RNR394226 RXN393218:RXN394226 SHJ393218:SHJ394226 SRF393218:SRF394226 TBB393218:TBB394226 TKX393218:TKX394226 TUT393218:TUT394226 UEP393218:UEP394226 UOL393218:UOL394226 UYH393218:UYH394226 VID393218:VID394226 VRZ393218:VRZ394226 WBV393218:WBV394226 WLR393218:WLR394226 WVN393218:WVN394226 F458754:F459762 JB458754:JB459762 SX458754:SX459762 ACT458754:ACT459762 AMP458754:AMP459762 AWL458754:AWL459762 BGH458754:BGH459762 BQD458754:BQD459762 BZZ458754:BZZ459762 CJV458754:CJV459762 CTR458754:CTR459762 DDN458754:DDN459762 DNJ458754:DNJ459762 DXF458754:DXF459762 EHB458754:EHB459762 EQX458754:EQX459762 FAT458754:FAT459762 FKP458754:FKP459762 FUL458754:FUL459762 GEH458754:GEH459762 GOD458754:GOD459762 GXZ458754:GXZ459762 HHV458754:HHV459762 HRR458754:HRR459762 IBN458754:IBN459762 ILJ458754:ILJ459762 IVF458754:IVF459762 JFB458754:JFB459762 JOX458754:JOX459762 JYT458754:JYT459762 KIP458754:KIP459762 KSL458754:KSL459762 LCH458754:LCH459762 LMD458754:LMD459762 LVZ458754:LVZ459762 MFV458754:MFV459762 MPR458754:MPR459762 MZN458754:MZN459762 NJJ458754:NJJ459762 NTF458754:NTF459762 ODB458754:ODB459762 OMX458754:OMX459762 OWT458754:OWT459762 PGP458754:PGP459762 PQL458754:PQL459762 QAH458754:QAH459762 QKD458754:QKD459762 QTZ458754:QTZ459762 RDV458754:RDV459762 RNR458754:RNR459762 RXN458754:RXN459762 SHJ458754:SHJ459762 SRF458754:SRF459762 TBB458754:TBB459762 TKX458754:TKX459762 TUT458754:TUT459762 UEP458754:UEP459762 UOL458754:UOL459762 UYH458754:UYH459762 VID458754:VID459762 VRZ458754:VRZ459762 WBV458754:WBV459762 WLR458754:WLR459762 WVN458754:WVN459762 F524290:F525298 JB524290:JB525298 SX524290:SX525298 ACT524290:ACT525298 AMP524290:AMP525298 AWL524290:AWL525298 BGH524290:BGH525298 BQD524290:BQD525298 BZZ524290:BZZ525298 CJV524290:CJV525298 CTR524290:CTR525298 DDN524290:DDN525298 DNJ524290:DNJ525298 DXF524290:DXF525298 EHB524290:EHB525298 EQX524290:EQX525298 FAT524290:FAT525298 FKP524290:FKP525298 FUL524290:FUL525298 GEH524290:GEH525298 GOD524290:GOD525298 GXZ524290:GXZ525298 HHV524290:HHV525298 HRR524290:HRR525298 IBN524290:IBN525298 ILJ524290:ILJ525298 IVF524290:IVF525298 JFB524290:JFB525298 JOX524290:JOX525298 JYT524290:JYT525298 KIP524290:KIP525298 KSL524290:KSL525298 LCH524290:LCH525298 LMD524290:LMD525298 LVZ524290:LVZ525298 MFV524290:MFV525298 MPR524290:MPR525298 MZN524290:MZN525298 NJJ524290:NJJ525298 NTF524290:NTF525298 ODB524290:ODB525298 OMX524290:OMX525298 OWT524290:OWT525298 PGP524290:PGP525298 PQL524290:PQL525298 QAH524290:QAH525298 QKD524290:QKD525298 QTZ524290:QTZ525298 RDV524290:RDV525298 RNR524290:RNR525298 RXN524290:RXN525298 SHJ524290:SHJ525298 SRF524290:SRF525298 TBB524290:TBB525298 TKX524290:TKX525298 TUT524290:TUT525298 UEP524290:UEP525298 UOL524290:UOL525298 UYH524290:UYH525298 VID524290:VID525298 VRZ524290:VRZ525298 WBV524290:WBV525298 WLR524290:WLR525298 WVN524290:WVN525298 F589826:F590834 JB589826:JB590834 SX589826:SX590834 ACT589826:ACT590834 AMP589826:AMP590834 AWL589826:AWL590834 BGH589826:BGH590834 BQD589826:BQD590834 BZZ589826:BZZ590834 CJV589826:CJV590834 CTR589826:CTR590834 DDN589826:DDN590834 DNJ589826:DNJ590834 DXF589826:DXF590834 EHB589826:EHB590834 EQX589826:EQX590834 FAT589826:FAT590834 FKP589826:FKP590834 FUL589826:FUL590834 GEH589826:GEH590834 GOD589826:GOD590834 GXZ589826:GXZ590834 HHV589826:HHV590834 HRR589826:HRR590834 IBN589826:IBN590834 ILJ589826:ILJ590834 IVF589826:IVF590834 JFB589826:JFB590834 JOX589826:JOX590834 JYT589826:JYT590834 KIP589826:KIP590834 KSL589826:KSL590834 LCH589826:LCH590834 LMD589826:LMD590834 LVZ589826:LVZ590834 MFV589826:MFV590834 MPR589826:MPR590834 MZN589826:MZN590834 NJJ589826:NJJ590834 NTF589826:NTF590834 ODB589826:ODB590834 OMX589826:OMX590834 OWT589826:OWT590834 PGP589826:PGP590834 PQL589826:PQL590834 QAH589826:QAH590834 QKD589826:QKD590834 QTZ589826:QTZ590834 RDV589826:RDV590834 RNR589826:RNR590834 RXN589826:RXN590834 SHJ589826:SHJ590834 SRF589826:SRF590834 TBB589826:TBB590834 TKX589826:TKX590834 TUT589826:TUT590834 UEP589826:UEP590834 UOL589826:UOL590834 UYH589826:UYH590834 VID589826:VID590834 VRZ589826:VRZ590834 WBV589826:WBV590834 WLR589826:WLR590834 WVN589826:WVN590834 F655362:F656370 JB655362:JB656370 SX655362:SX656370 ACT655362:ACT656370 AMP655362:AMP656370 AWL655362:AWL656370 BGH655362:BGH656370 BQD655362:BQD656370 BZZ655362:BZZ656370 CJV655362:CJV656370 CTR655362:CTR656370 DDN655362:DDN656370 DNJ655362:DNJ656370 DXF655362:DXF656370 EHB655362:EHB656370 EQX655362:EQX656370 FAT655362:FAT656370 FKP655362:FKP656370 FUL655362:FUL656370 GEH655362:GEH656370 GOD655362:GOD656370 GXZ655362:GXZ656370 HHV655362:HHV656370 HRR655362:HRR656370 IBN655362:IBN656370 ILJ655362:ILJ656370 IVF655362:IVF656370 JFB655362:JFB656370 JOX655362:JOX656370 JYT655362:JYT656370 KIP655362:KIP656370 KSL655362:KSL656370 LCH655362:LCH656370 LMD655362:LMD656370 LVZ655362:LVZ656370 MFV655362:MFV656370 MPR655362:MPR656370 MZN655362:MZN656370 NJJ655362:NJJ656370 NTF655362:NTF656370 ODB655362:ODB656370 OMX655362:OMX656370 OWT655362:OWT656370 PGP655362:PGP656370 PQL655362:PQL656370 QAH655362:QAH656370 QKD655362:QKD656370 QTZ655362:QTZ656370 RDV655362:RDV656370 RNR655362:RNR656370 RXN655362:RXN656370 SHJ655362:SHJ656370 SRF655362:SRF656370 TBB655362:TBB656370 TKX655362:TKX656370 TUT655362:TUT656370 UEP655362:UEP656370 UOL655362:UOL656370 UYH655362:UYH656370 VID655362:VID656370 VRZ655362:VRZ656370 WBV655362:WBV656370 WLR655362:WLR656370 WVN655362:WVN656370 F720898:F721906 JB720898:JB721906 SX720898:SX721906 ACT720898:ACT721906 AMP720898:AMP721906 AWL720898:AWL721906 BGH720898:BGH721906 BQD720898:BQD721906 BZZ720898:BZZ721906 CJV720898:CJV721906 CTR720898:CTR721906 DDN720898:DDN721906 DNJ720898:DNJ721906 DXF720898:DXF721906 EHB720898:EHB721906 EQX720898:EQX721906 FAT720898:FAT721906 FKP720898:FKP721906 FUL720898:FUL721906 GEH720898:GEH721906 GOD720898:GOD721906 GXZ720898:GXZ721906 HHV720898:HHV721906 HRR720898:HRR721906 IBN720898:IBN721906 ILJ720898:ILJ721906 IVF720898:IVF721906 JFB720898:JFB721906 JOX720898:JOX721906 JYT720898:JYT721906 KIP720898:KIP721906 KSL720898:KSL721906 LCH720898:LCH721906 LMD720898:LMD721906 LVZ720898:LVZ721906 MFV720898:MFV721906 MPR720898:MPR721906 MZN720898:MZN721906 NJJ720898:NJJ721906 NTF720898:NTF721906 ODB720898:ODB721906 OMX720898:OMX721906 OWT720898:OWT721906 PGP720898:PGP721906 PQL720898:PQL721906 QAH720898:QAH721906 QKD720898:QKD721906 QTZ720898:QTZ721906 RDV720898:RDV721906 RNR720898:RNR721906 RXN720898:RXN721906 SHJ720898:SHJ721906 SRF720898:SRF721906 TBB720898:TBB721906 TKX720898:TKX721906 TUT720898:TUT721906 UEP720898:UEP721906 UOL720898:UOL721906 UYH720898:UYH721906 VID720898:VID721906 VRZ720898:VRZ721906 WBV720898:WBV721906 WLR720898:WLR721906 WVN720898:WVN721906 F786434:F787442 JB786434:JB787442 SX786434:SX787442 ACT786434:ACT787442 AMP786434:AMP787442 AWL786434:AWL787442 BGH786434:BGH787442 BQD786434:BQD787442 BZZ786434:BZZ787442 CJV786434:CJV787442 CTR786434:CTR787442 DDN786434:DDN787442 DNJ786434:DNJ787442 DXF786434:DXF787442 EHB786434:EHB787442 EQX786434:EQX787442 FAT786434:FAT787442 FKP786434:FKP787442 FUL786434:FUL787442 GEH786434:GEH787442 GOD786434:GOD787442 GXZ786434:GXZ787442 HHV786434:HHV787442 HRR786434:HRR787442 IBN786434:IBN787442 ILJ786434:ILJ787442 IVF786434:IVF787442 JFB786434:JFB787442 JOX786434:JOX787442 JYT786434:JYT787442 KIP786434:KIP787442 KSL786434:KSL787442 LCH786434:LCH787442 LMD786434:LMD787442 LVZ786434:LVZ787442 MFV786434:MFV787442 MPR786434:MPR787442 MZN786434:MZN787442 NJJ786434:NJJ787442 NTF786434:NTF787442 ODB786434:ODB787442 OMX786434:OMX787442 OWT786434:OWT787442 PGP786434:PGP787442 PQL786434:PQL787442 QAH786434:QAH787442 QKD786434:QKD787442 QTZ786434:QTZ787442 RDV786434:RDV787442 RNR786434:RNR787442 RXN786434:RXN787442 SHJ786434:SHJ787442 SRF786434:SRF787442 TBB786434:TBB787442 TKX786434:TKX787442 TUT786434:TUT787442 UEP786434:UEP787442 UOL786434:UOL787442 UYH786434:UYH787442 VID786434:VID787442 VRZ786434:VRZ787442 WBV786434:WBV787442 WLR786434:WLR787442 WVN786434:WVN787442 F851970:F852978 JB851970:JB852978 SX851970:SX852978 ACT851970:ACT852978 AMP851970:AMP852978 AWL851970:AWL852978 BGH851970:BGH852978 BQD851970:BQD852978 BZZ851970:BZZ852978 CJV851970:CJV852978 CTR851970:CTR852978 DDN851970:DDN852978 DNJ851970:DNJ852978 DXF851970:DXF852978 EHB851970:EHB852978 EQX851970:EQX852978 FAT851970:FAT852978 FKP851970:FKP852978 FUL851970:FUL852978 GEH851970:GEH852978 GOD851970:GOD852978 GXZ851970:GXZ852978 HHV851970:HHV852978 HRR851970:HRR852978 IBN851970:IBN852978 ILJ851970:ILJ852978 IVF851970:IVF852978 JFB851970:JFB852978 JOX851970:JOX852978 JYT851970:JYT852978 KIP851970:KIP852978 KSL851970:KSL852978 LCH851970:LCH852978 LMD851970:LMD852978 LVZ851970:LVZ852978 MFV851970:MFV852978 MPR851970:MPR852978 MZN851970:MZN852978 NJJ851970:NJJ852978 NTF851970:NTF852978 ODB851970:ODB852978 OMX851970:OMX852978 OWT851970:OWT852978 PGP851970:PGP852978 PQL851970:PQL852978 QAH851970:QAH852978 QKD851970:QKD852978 QTZ851970:QTZ852978 RDV851970:RDV852978 RNR851970:RNR852978 RXN851970:RXN852978 SHJ851970:SHJ852978 SRF851970:SRF852978 TBB851970:TBB852978 TKX851970:TKX852978 TUT851970:TUT852978 UEP851970:UEP852978 UOL851970:UOL852978 UYH851970:UYH852978 VID851970:VID852978 VRZ851970:VRZ852978 WBV851970:WBV852978 WLR851970:WLR852978 WVN851970:WVN852978 F917506:F918514 JB917506:JB918514 SX917506:SX918514 ACT917506:ACT918514 AMP917506:AMP918514 AWL917506:AWL918514 BGH917506:BGH918514 BQD917506:BQD918514 BZZ917506:BZZ918514 CJV917506:CJV918514 CTR917506:CTR918514 DDN917506:DDN918514 DNJ917506:DNJ918514 DXF917506:DXF918514 EHB917506:EHB918514 EQX917506:EQX918514 FAT917506:FAT918514 FKP917506:FKP918514 FUL917506:FUL918514 GEH917506:GEH918514 GOD917506:GOD918514 GXZ917506:GXZ918514 HHV917506:HHV918514 HRR917506:HRR918514 IBN917506:IBN918514 ILJ917506:ILJ918514 IVF917506:IVF918514 JFB917506:JFB918514 JOX917506:JOX918514 JYT917506:JYT918514 KIP917506:KIP918514 KSL917506:KSL918514 LCH917506:LCH918514 LMD917506:LMD918514 LVZ917506:LVZ918514 MFV917506:MFV918514 MPR917506:MPR918514 MZN917506:MZN918514 NJJ917506:NJJ918514 NTF917506:NTF918514 ODB917506:ODB918514 OMX917506:OMX918514 OWT917506:OWT918514 PGP917506:PGP918514 PQL917506:PQL918514 QAH917506:QAH918514 QKD917506:QKD918514 QTZ917506:QTZ918514 RDV917506:RDV918514 RNR917506:RNR918514 RXN917506:RXN918514 SHJ917506:SHJ918514 SRF917506:SRF918514 TBB917506:TBB918514 TKX917506:TKX918514 TUT917506:TUT918514 UEP917506:UEP918514 UOL917506:UOL918514 UYH917506:UYH918514 VID917506:VID918514 VRZ917506:VRZ918514 WBV917506:WBV918514 WLR917506:WLR918514 WVN917506:WVN918514 F983042:F984050 JB983042:JB984050 SX983042:SX984050 ACT983042:ACT984050 AMP983042:AMP984050 AWL983042:AWL984050 BGH983042:BGH984050 BQD983042:BQD984050 BZZ983042:BZZ984050 CJV983042:CJV984050 CTR983042:CTR984050 DDN983042:DDN984050 DNJ983042:DNJ984050 DXF983042:DXF984050 EHB983042:EHB984050 EQX983042:EQX984050 FAT983042:FAT984050 FKP983042:FKP984050 FUL983042:FUL984050 GEH983042:GEH984050 GOD983042:GOD984050 GXZ983042:GXZ984050 HHV983042:HHV984050 HRR983042:HRR984050 IBN983042:IBN984050 ILJ983042:ILJ984050 IVF983042:IVF984050 JFB983042:JFB984050 JOX983042:JOX984050 JYT983042:JYT984050 KIP983042:KIP984050 KSL983042:KSL984050 LCH983042:LCH984050 LMD983042:LMD984050 LVZ983042:LVZ984050 MFV983042:MFV984050 MPR983042:MPR984050 MZN983042:MZN984050 NJJ983042:NJJ984050 NTF983042:NTF984050 ODB983042:ODB984050 OMX983042:OMX984050 OWT983042:OWT984050 PGP983042:PGP984050 PQL983042:PQL984050 QAH983042:QAH984050 QKD983042:QKD984050 QTZ983042:QTZ984050 RDV983042:RDV984050 RNR983042:RNR984050 RXN983042:RXN984050 SHJ983042:SHJ984050 SRF983042:SRF984050 TBB983042:TBB984050 TKX983042:TKX984050 TUT983042:TUT984050 UEP983042:UEP984050 UOL983042:UOL984050 UYH983042:UYH984050 VID983042:VID984050 VRZ983042:VRZ984050 WBV983042:WBV984050 WLR983042:WLR984050 WVN983042:WVN984050">
      <formula1>WRN_Type</formula1>
    </dataValidation>
    <dataValidation type="custom" allowBlank="1" showInputMessage="1" showErrorMessage="1" sqref="M137:M1010 JI137:JI1010 TE137:TE1010 ADA137:ADA1010 AMW137:AMW1010 AWS137:AWS1010 BGO137:BGO1010 BQK137:BQK1010 CAG137:CAG1010 CKC137:CKC1010 CTY137:CTY1010 DDU137:DDU1010 DNQ137:DNQ1010 DXM137:DXM1010 EHI137:EHI1010 ERE137:ERE1010 FBA137:FBA1010 FKW137:FKW1010 FUS137:FUS1010 GEO137:GEO1010 GOK137:GOK1010 GYG137:GYG1010 HIC137:HIC1010 HRY137:HRY1010 IBU137:IBU1010 ILQ137:ILQ1010 IVM137:IVM1010 JFI137:JFI1010 JPE137:JPE1010 JZA137:JZA1010 KIW137:KIW1010 KSS137:KSS1010 LCO137:LCO1010 LMK137:LMK1010 LWG137:LWG1010 MGC137:MGC1010 MPY137:MPY1010 MZU137:MZU1010 NJQ137:NJQ1010 NTM137:NTM1010 ODI137:ODI1010 ONE137:ONE1010 OXA137:OXA1010 PGW137:PGW1010 PQS137:PQS1010 QAO137:QAO1010 QKK137:QKK1010 QUG137:QUG1010 REC137:REC1010 RNY137:RNY1010 RXU137:RXU1010 SHQ137:SHQ1010 SRM137:SRM1010 TBI137:TBI1010 TLE137:TLE1010 TVA137:TVA1010 UEW137:UEW1010 UOS137:UOS1010 UYO137:UYO1010 VIK137:VIK1010 VSG137:VSG1010 WCC137:WCC1010 WLY137:WLY1010 WVU137:WVU1010 M65673:M66546 JI65673:JI66546 TE65673:TE66546 ADA65673:ADA66546 AMW65673:AMW66546 AWS65673:AWS66546 BGO65673:BGO66546 BQK65673:BQK66546 CAG65673:CAG66546 CKC65673:CKC66546 CTY65673:CTY66546 DDU65673:DDU66546 DNQ65673:DNQ66546 DXM65673:DXM66546 EHI65673:EHI66546 ERE65673:ERE66546 FBA65673:FBA66546 FKW65673:FKW66546 FUS65673:FUS66546 GEO65673:GEO66546 GOK65673:GOK66546 GYG65673:GYG66546 HIC65673:HIC66546 HRY65673:HRY66546 IBU65673:IBU66546 ILQ65673:ILQ66546 IVM65673:IVM66546 JFI65673:JFI66546 JPE65673:JPE66546 JZA65673:JZA66546 KIW65673:KIW66546 KSS65673:KSS66546 LCO65673:LCO66546 LMK65673:LMK66546 LWG65673:LWG66546 MGC65673:MGC66546 MPY65673:MPY66546 MZU65673:MZU66546 NJQ65673:NJQ66546 NTM65673:NTM66546 ODI65673:ODI66546 ONE65673:ONE66546 OXA65673:OXA66546 PGW65673:PGW66546 PQS65673:PQS66546 QAO65673:QAO66546 QKK65673:QKK66546 QUG65673:QUG66546 REC65673:REC66546 RNY65673:RNY66546 RXU65673:RXU66546 SHQ65673:SHQ66546 SRM65673:SRM66546 TBI65673:TBI66546 TLE65673:TLE66546 TVA65673:TVA66546 UEW65673:UEW66546 UOS65673:UOS66546 UYO65673:UYO66546 VIK65673:VIK66546 VSG65673:VSG66546 WCC65673:WCC66546 WLY65673:WLY66546 WVU65673:WVU66546 M131209:M132082 JI131209:JI132082 TE131209:TE132082 ADA131209:ADA132082 AMW131209:AMW132082 AWS131209:AWS132082 BGO131209:BGO132082 BQK131209:BQK132082 CAG131209:CAG132082 CKC131209:CKC132082 CTY131209:CTY132082 DDU131209:DDU132082 DNQ131209:DNQ132082 DXM131209:DXM132082 EHI131209:EHI132082 ERE131209:ERE132082 FBA131209:FBA132082 FKW131209:FKW132082 FUS131209:FUS132082 GEO131209:GEO132082 GOK131209:GOK132082 GYG131209:GYG132082 HIC131209:HIC132082 HRY131209:HRY132082 IBU131209:IBU132082 ILQ131209:ILQ132082 IVM131209:IVM132082 JFI131209:JFI132082 JPE131209:JPE132082 JZA131209:JZA132082 KIW131209:KIW132082 KSS131209:KSS132082 LCO131209:LCO132082 LMK131209:LMK132082 LWG131209:LWG132082 MGC131209:MGC132082 MPY131209:MPY132082 MZU131209:MZU132082 NJQ131209:NJQ132082 NTM131209:NTM132082 ODI131209:ODI132082 ONE131209:ONE132082 OXA131209:OXA132082 PGW131209:PGW132082 PQS131209:PQS132082 QAO131209:QAO132082 QKK131209:QKK132082 QUG131209:QUG132082 REC131209:REC132082 RNY131209:RNY132082 RXU131209:RXU132082 SHQ131209:SHQ132082 SRM131209:SRM132082 TBI131209:TBI132082 TLE131209:TLE132082 TVA131209:TVA132082 UEW131209:UEW132082 UOS131209:UOS132082 UYO131209:UYO132082 VIK131209:VIK132082 VSG131209:VSG132082 WCC131209:WCC132082 WLY131209:WLY132082 WVU131209:WVU132082 M196745:M197618 JI196745:JI197618 TE196745:TE197618 ADA196745:ADA197618 AMW196745:AMW197618 AWS196745:AWS197618 BGO196745:BGO197618 BQK196745:BQK197618 CAG196745:CAG197618 CKC196745:CKC197618 CTY196745:CTY197618 DDU196745:DDU197618 DNQ196745:DNQ197618 DXM196745:DXM197618 EHI196745:EHI197618 ERE196745:ERE197618 FBA196745:FBA197618 FKW196745:FKW197618 FUS196745:FUS197618 GEO196745:GEO197618 GOK196745:GOK197618 GYG196745:GYG197618 HIC196745:HIC197618 HRY196745:HRY197618 IBU196745:IBU197618 ILQ196745:ILQ197618 IVM196745:IVM197618 JFI196745:JFI197618 JPE196745:JPE197618 JZA196745:JZA197618 KIW196745:KIW197618 KSS196745:KSS197618 LCO196745:LCO197618 LMK196745:LMK197618 LWG196745:LWG197618 MGC196745:MGC197618 MPY196745:MPY197618 MZU196745:MZU197618 NJQ196745:NJQ197618 NTM196745:NTM197618 ODI196745:ODI197618 ONE196745:ONE197618 OXA196745:OXA197618 PGW196745:PGW197618 PQS196745:PQS197618 QAO196745:QAO197618 QKK196745:QKK197618 QUG196745:QUG197618 REC196745:REC197618 RNY196745:RNY197618 RXU196745:RXU197618 SHQ196745:SHQ197618 SRM196745:SRM197618 TBI196745:TBI197618 TLE196745:TLE197618 TVA196745:TVA197618 UEW196745:UEW197618 UOS196745:UOS197618 UYO196745:UYO197618 VIK196745:VIK197618 VSG196745:VSG197618 WCC196745:WCC197618 WLY196745:WLY197618 WVU196745:WVU197618 M262281:M263154 JI262281:JI263154 TE262281:TE263154 ADA262281:ADA263154 AMW262281:AMW263154 AWS262281:AWS263154 BGO262281:BGO263154 BQK262281:BQK263154 CAG262281:CAG263154 CKC262281:CKC263154 CTY262281:CTY263154 DDU262281:DDU263154 DNQ262281:DNQ263154 DXM262281:DXM263154 EHI262281:EHI263154 ERE262281:ERE263154 FBA262281:FBA263154 FKW262281:FKW263154 FUS262281:FUS263154 GEO262281:GEO263154 GOK262281:GOK263154 GYG262281:GYG263154 HIC262281:HIC263154 HRY262281:HRY263154 IBU262281:IBU263154 ILQ262281:ILQ263154 IVM262281:IVM263154 JFI262281:JFI263154 JPE262281:JPE263154 JZA262281:JZA263154 KIW262281:KIW263154 KSS262281:KSS263154 LCO262281:LCO263154 LMK262281:LMK263154 LWG262281:LWG263154 MGC262281:MGC263154 MPY262281:MPY263154 MZU262281:MZU263154 NJQ262281:NJQ263154 NTM262281:NTM263154 ODI262281:ODI263154 ONE262281:ONE263154 OXA262281:OXA263154 PGW262281:PGW263154 PQS262281:PQS263154 QAO262281:QAO263154 QKK262281:QKK263154 QUG262281:QUG263154 REC262281:REC263154 RNY262281:RNY263154 RXU262281:RXU263154 SHQ262281:SHQ263154 SRM262281:SRM263154 TBI262281:TBI263154 TLE262281:TLE263154 TVA262281:TVA263154 UEW262281:UEW263154 UOS262281:UOS263154 UYO262281:UYO263154 VIK262281:VIK263154 VSG262281:VSG263154 WCC262281:WCC263154 WLY262281:WLY263154 WVU262281:WVU263154 M327817:M328690 JI327817:JI328690 TE327817:TE328690 ADA327817:ADA328690 AMW327817:AMW328690 AWS327817:AWS328690 BGO327817:BGO328690 BQK327817:BQK328690 CAG327817:CAG328690 CKC327817:CKC328690 CTY327817:CTY328690 DDU327817:DDU328690 DNQ327817:DNQ328690 DXM327817:DXM328690 EHI327817:EHI328690 ERE327817:ERE328690 FBA327817:FBA328690 FKW327817:FKW328690 FUS327817:FUS328690 GEO327817:GEO328690 GOK327817:GOK328690 GYG327817:GYG328690 HIC327817:HIC328690 HRY327817:HRY328690 IBU327817:IBU328690 ILQ327817:ILQ328690 IVM327817:IVM328690 JFI327817:JFI328690 JPE327817:JPE328690 JZA327817:JZA328690 KIW327817:KIW328690 KSS327817:KSS328690 LCO327817:LCO328690 LMK327817:LMK328690 LWG327817:LWG328690 MGC327817:MGC328690 MPY327817:MPY328690 MZU327817:MZU328690 NJQ327817:NJQ328690 NTM327817:NTM328690 ODI327817:ODI328690 ONE327817:ONE328690 OXA327817:OXA328690 PGW327817:PGW328690 PQS327817:PQS328690 QAO327817:QAO328690 QKK327817:QKK328690 QUG327817:QUG328690 REC327817:REC328690 RNY327817:RNY328690 RXU327817:RXU328690 SHQ327817:SHQ328690 SRM327817:SRM328690 TBI327817:TBI328690 TLE327817:TLE328690 TVA327817:TVA328690 UEW327817:UEW328690 UOS327817:UOS328690 UYO327817:UYO328690 VIK327817:VIK328690 VSG327817:VSG328690 WCC327817:WCC328690 WLY327817:WLY328690 WVU327817:WVU328690 M393353:M394226 JI393353:JI394226 TE393353:TE394226 ADA393353:ADA394226 AMW393353:AMW394226 AWS393353:AWS394226 BGO393353:BGO394226 BQK393353:BQK394226 CAG393353:CAG394226 CKC393353:CKC394226 CTY393353:CTY394226 DDU393353:DDU394226 DNQ393353:DNQ394226 DXM393353:DXM394226 EHI393353:EHI394226 ERE393353:ERE394226 FBA393353:FBA394226 FKW393353:FKW394226 FUS393353:FUS394226 GEO393353:GEO394226 GOK393353:GOK394226 GYG393353:GYG394226 HIC393353:HIC394226 HRY393353:HRY394226 IBU393353:IBU394226 ILQ393353:ILQ394226 IVM393353:IVM394226 JFI393353:JFI394226 JPE393353:JPE394226 JZA393353:JZA394226 KIW393353:KIW394226 KSS393353:KSS394226 LCO393353:LCO394226 LMK393353:LMK394226 LWG393353:LWG394226 MGC393353:MGC394226 MPY393353:MPY394226 MZU393353:MZU394226 NJQ393353:NJQ394226 NTM393353:NTM394226 ODI393353:ODI394226 ONE393353:ONE394226 OXA393353:OXA394226 PGW393353:PGW394226 PQS393353:PQS394226 QAO393353:QAO394226 QKK393353:QKK394226 QUG393353:QUG394226 REC393353:REC394226 RNY393353:RNY394226 RXU393353:RXU394226 SHQ393353:SHQ394226 SRM393353:SRM394226 TBI393353:TBI394226 TLE393353:TLE394226 TVA393353:TVA394226 UEW393353:UEW394226 UOS393353:UOS394226 UYO393353:UYO394226 VIK393353:VIK394226 VSG393353:VSG394226 WCC393353:WCC394226 WLY393353:WLY394226 WVU393353:WVU394226 M458889:M459762 JI458889:JI459762 TE458889:TE459762 ADA458889:ADA459762 AMW458889:AMW459762 AWS458889:AWS459762 BGO458889:BGO459762 BQK458889:BQK459762 CAG458889:CAG459762 CKC458889:CKC459762 CTY458889:CTY459762 DDU458889:DDU459762 DNQ458889:DNQ459762 DXM458889:DXM459762 EHI458889:EHI459762 ERE458889:ERE459762 FBA458889:FBA459762 FKW458889:FKW459762 FUS458889:FUS459762 GEO458889:GEO459762 GOK458889:GOK459762 GYG458889:GYG459762 HIC458889:HIC459762 HRY458889:HRY459762 IBU458889:IBU459762 ILQ458889:ILQ459762 IVM458889:IVM459762 JFI458889:JFI459762 JPE458889:JPE459762 JZA458889:JZA459762 KIW458889:KIW459762 KSS458889:KSS459762 LCO458889:LCO459762 LMK458889:LMK459762 LWG458889:LWG459762 MGC458889:MGC459762 MPY458889:MPY459762 MZU458889:MZU459762 NJQ458889:NJQ459762 NTM458889:NTM459762 ODI458889:ODI459762 ONE458889:ONE459762 OXA458889:OXA459762 PGW458889:PGW459762 PQS458889:PQS459762 QAO458889:QAO459762 QKK458889:QKK459762 QUG458889:QUG459762 REC458889:REC459762 RNY458889:RNY459762 RXU458889:RXU459762 SHQ458889:SHQ459762 SRM458889:SRM459762 TBI458889:TBI459762 TLE458889:TLE459762 TVA458889:TVA459762 UEW458889:UEW459762 UOS458889:UOS459762 UYO458889:UYO459762 VIK458889:VIK459762 VSG458889:VSG459762 WCC458889:WCC459762 WLY458889:WLY459762 WVU458889:WVU459762 M524425:M525298 JI524425:JI525298 TE524425:TE525298 ADA524425:ADA525298 AMW524425:AMW525298 AWS524425:AWS525298 BGO524425:BGO525298 BQK524425:BQK525298 CAG524425:CAG525298 CKC524425:CKC525298 CTY524425:CTY525298 DDU524425:DDU525298 DNQ524425:DNQ525298 DXM524425:DXM525298 EHI524425:EHI525298 ERE524425:ERE525298 FBA524425:FBA525298 FKW524425:FKW525298 FUS524425:FUS525298 GEO524425:GEO525298 GOK524425:GOK525298 GYG524425:GYG525298 HIC524425:HIC525298 HRY524425:HRY525298 IBU524425:IBU525298 ILQ524425:ILQ525298 IVM524425:IVM525298 JFI524425:JFI525298 JPE524425:JPE525298 JZA524425:JZA525298 KIW524425:KIW525298 KSS524425:KSS525298 LCO524425:LCO525298 LMK524425:LMK525298 LWG524425:LWG525298 MGC524425:MGC525298 MPY524425:MPY525298 MZU524425:MZU525298 NJQ524425:NJQ525298 NTM524425:NTM525298 ODI524425:ODI525298 ONE524425:ONE525298 OXA524425:OXA525298 PGW524425:PGW525298 PQS524425:PQS525298 QAO524425:QAO525298 QKK524425:QKK525298 QUG524425:QUG525298 REC524425:REC525298 RNY524425:RNY525298 RXU524425:RXU525298 SHQ524425:SHQ525298 SRM524425:SRM525298 TBI524425:TBI525298 TLE524425:TLE525298 TVA524425:TVA525298 UEW524425:UEW525298 UOS524425:UOS525298 UYO524425:UYO525298 VIK524425:VIK525298 VSG524425:VSG525298 WCC524425:WCC525298 WLY524425:WLY525298 WVU524425:WVU525298 M589961:M590834 JI589961:JI590834 TE589961:TE590834 ADA589961:ADA590834 AMW589961:AMW590834 AWS589961:AWS590834 BGO589961:BGO590834 BQK589961:BQK590834 CAG589961:CAG590834 CKC589961:CKC590834 CTY589961:CTY590834 DDU589961:DDU590834 DNQ589961:DNQ590834 DXM589961:DXM590834 EHI589961:EHI590834 ERE589961:ERE590834 FBA589961:FBA590834 FKW589961:FKW590834 FUS589961:FUS590834 GEO589961:GEO590834 GOK589961:GOK590834 GYG589961:GYG590834 HIC589961:HIC590834 HRY589961:HRY590834 IBU589961:IBU590834 ILQ589961:ILQ590834 IVM589961:IVM590834 JFI589961:JFI590834 JPE589961:JPE590834 JZA589961:JZA590834 KIW589961:KIW590834 KSS589961:KSS590834 LCO589961:LCO590834 LMK589961:LMK590834 LWG589961:LWG590834 MGC589961:MGC590834 MPY589961:MPY590834 MZU589961:MZU590834 NJQ589961:NJQ590834 NTM589961:NTM590834 ODI589961:ODI590834 ONE589961:ONE590834 OXA589961:OXA590834 PGW589961:PGW590834 PQS589961:PQS590834 QAO589961:QAO590834 QKK589961:QKK590834 QUG589961:QUG590834 REC589961:REC590834 RNY589961:RNY590834 RXU589961:RXU590834 SHQ589961:SHQ590834 SRM589961:SRM590834 TBI589961:TBI590834 TLE589961:TLE590834 TVA589961:TVA590834 UEW589961:UEW590834 UOS589961:UOS590834 UYO589961:UYO590834 VIK589961:VIK590834 VSG589961:VSG590834 WCC589961:WCC590834 WLY589961:WLY590834 WVU589961:WVU590834 M655497:M656370 JI655497:JI656370 TE655497:TE656370 ADA655497:ADA656370 AMW655497:AMW656370 AWS655497:AWS656370 BGO655497:BGO656370 BQK655497:BQK656370 CAG655497:CAG656370 CKC655497:CKC656370 CTY655497:CTY656370 DDU655497:DDU656370 DNQ655497:DNQ656370 DXM655497:DXM656370 EHI655497:EHI656370 ERE655497:ERE656370 FBA655497:FBA656370 FKW655497:FKW656370 FUS655497:FUS656370 GEO655497:GEO656370 GOK655497:GOK656370 GYG655497:GYG656370 HIC655497:HIC656370 HRY655497:HRY656370 IBU655497:IBU656370 ILQ655497:ILQ656370 IVM655497:IVM656370 JFI655497:JFI656370 JPE655497:JPE656370 JZA655497:JZA656370 KIW655497:KIW656370 KSS655497:KSS656370 LCO655497:LCO656370 LMK655497:LMK656370 LWG655497:LWG656370 MGC655497:MGC656370 MPY655497:MPY656370 MZU655497:MZU656370 NJQ655497:NJQ656370 NTM655497:NTM656370 ODI655497:ODI656370 ONE655497:ONE656370 OXA655497:OXA656370 PGW655497:PGW656370 PQS655497:PQS656370 QAO655497:QAO656370 QKK655497:QKK656370 QUG655497:QUG656370 REC655497:REC656370 RNY655497:RNY656370 RXU655497:RXU656370 SHQ655497:SHQ656370 SRM655497:SRM656370 TBI655497:TBI656370 TLE655497:TLE656370 TVA655497:TVA656370 UEW655497:UEW656370 UOS655497:UOS656370 UYO655497:UYO656370 VIK655497:VIK656370 VSG655497:VSG656370 WCC655497:WCC656370 WLY655497:WLY656370 WVU655497:WVU656370 M721033:M721906 JI721033:JI721906 TE721033:TE721906 ADA721033:ADA721906 AMW721033:AMW721906 AWS721033:AWS721906 BGO721033:BGO721906 BQK721033:BQK721906 CAG721033:CAG721906 CKC721033:CKC721906 CTY721033:CTY721906 DDU721033:DDU721906 DNQ721033:DNQ721906 DXM721033:DXM721906 EHI721033:EHI721906 ERE721033:ERE721906 FBA721033:FBA721906 FKW721033:FKW721906 FUS721033:FUS721906 GEO721033:GEO721906 GOK721033:GOK721906 GYG721033:GYG721906 HIC721033:HIC721906 HRY721033:HRY721906 IBU721033:IBU721906 ILQ721033:ILQ721906 IVM721033:IVM721906 JFI721033:JFI721906 JPE721033:JPE721906 JZA721033:JZA721906 KIW721033:KIW721906 KSS721033:KSS721906 LCO721033:LCO721906 LMK721033:LMK721906 LWG721033:LWG721906 MGC721033:MGC721906 MPY721033:MPY721906 MZU721033:MZU721906 NJQ721033:NJQ721906 NTM721033:NTM721906 ODI721033:ODI721906 ONE721033:ONE721906 OXA721033:OXA721906 PGW721033:PGW721906 PQS721033:PQS721906 QAO721033:QAO721906 QKK721033:QKK721906 QUG721033:QUG721906 REC721033:REC721906 RNY721033:RNY721906 RXU721033:RXU721906 SHQ721033:SHQ721906 SRM721033:SRM721906 TBI721033:TBI721906 TLE721033:TLE721906 TVA721033:TVA721906 UEW721033:UEW721906 UOS721033:UOS721906 UYO721033:UYO721906 VIK721033:VIK721906 VSG721033:VSG721906 WCC721033:WCC721906 WLY721033:WLY721906 WVU721033:WVU721906 M786569:M787442 JI786569:JI787442 TE786569:TE787442 ADA786569:ADA787442 AMW786569:AMW787442 AWS786569:AWS787442 BGO786569:BGO787442 BQK786569:BQK787442 CAG786569:CAG787442 CKC786569:CKC787442 CTY786569:CTY787442 DDU786569:DDU787442 DNQ786569:DNQ787442 DXM786569:DXM787442 EHI786569:EHI787442 ERE786569:ERE787442 FBA786569:FBA787442 FKW786569:FKW787442 FUS786569:FUS787442 GEO786569:GEO787442 GOK786569:GOK787442 GYG786569:GYG787442 HIC786569:HIC787442 HRY786569:HRY787442 IBU786569:IBU787442 ILQ786569:ILQ787442 IVM786569:IVM787442 JFI786569:JFI787442 JPE786569:JPE787442 JZA786569:JZA787442 KIW786569:KIW787442 KSS786569:KSS787442 LCO786569:LCO787442 LMK786569:LMK787442 LWG786569:LWG787442 MGC786569:MGC787442 MPY786569:MPY787442 MZU786569:MZU787442 NJQ786569:NJQ787442 NTM786569:NTM787442 ODI786569:ODI787442 ONE786569:ONE787442 OXA786569:OXA787442 PGW786569:PGW787442 PQS786569:PQS787442 QAO786569:QAO787442 QKK786569:QKK787442 QUG786569:QUG787442 REC786569:REC787442 RNY786569:RNY787442 RXU786569:RXU787442 SHQ786569:SHQ787442 SRM786569:SRM787442 TBI786569:TBI787442 TLE786569:TLE787442 TVA786569:TVA787442 UEW786569:UEW787442 UOS786569:UOS787442 UYO786569:UYO787442 VIK786569:VIK787442 VSG786569:VSG787442 WCC786569:WCC787442 WLY786569:WLY787442 WVU786569:WVU787442 M852105:M852978 JI852105:JI852978 TE852105:TE852978 ADA852105:ADA852978 AMW852105:AMW852978 AWS852105:AWS852978 BGO852105:BGO852978 BQK852105:BQK852978 CAG852105:CAG852978 CKC852105:CKC852978 CTY852105:CTY852978 DDU852105:DDU852978 DNQ852105:DNQ852978 DXM852105:DXM852978 EHI852105:EHI852978 ERE852105:ERE852978 FBA852105:FBA852978 FKW852105:FKW852978 FUS852105:FUS852978 GEO852105:GEO852978 GOK852105:GOK852978 GYG852105:GYG852978 HIC852105:HIC852978 HRY852105:HRY852978 IBU852105:IBU852978 ILQ852105:ILQ852978 IVM852105:IVM852978 JFI852105:JFI852978 JPE852105:JPE852978 JZA852105:JZA852978 KIW852105:KIW852978 KSS852105:KSS852978 LCO852105:LCO852978 LMK852105:LMK852978 LWG852105:LWG852978 MGC852105:MGC852978 MPY852105:MPY852978 MZU852105:MZU852978 NJQ852105:NJQ852978 NTM852105:NTM852978 ODI852105:ODI852978 ONE852105:ONE852978 OXA852105:OXA852978 PGW852105:PGW852978 PQS852105:PQS852978 QAO852105:QAO852978 QKK852105:QKK852978 QUG852105:QUG852978 REC852105:REC852978 RNY852105:RNY852978 RXU852105:RXU852978 SHQ852105:SHQ852978 SRM852105:SRM852978 TBI852105:TBI852978 TLE852105:TLE852978 TVA852105:TVA852978 UEW852105:UEW852978 UOS852105:UOS852978 UYO852105:UYO852978 VIK852105:VIK852978 VSG852105:VSG852978 WCC852105:WCC852978 WLY852105:WLY852978 WVU852105:WVU852978 M917641:M918514 JI917641:JI918514 TE917641:TE918514 ADA917641:ADA918514 AMW917641:AMW918514 AWS917641:AWS918514 BGO917641:BGO918514 BQK917641:BQK918514 CAG917641:CAG918514 CKC917641:CKC918514 CTY917641:CTY918514 DDU917641:DDU918514 DNQ917641:DNQ918514 DXM917641:DXM918514 EHI917641:EHI918514 ERE917641:ERE918514 FBA917641:FBA918514 FKW917641:FKW918514 FUS917641:FUS918514 GEO917641:GEO918514 GOK917641:GOK918514 GYG917641:GYG918514 HIC917641:HIC918514 HRY917641:HRY918514 IBU917641:IBU918514 ILQ917641:ILQ918514 IVM917641:IVM918514 JFI917641:JFI918514 JPE917641:JPE918514 JZA917641:JZA918514 KIW917641:KIW918514 KSS917641:KSS918514 LCO917641:LCO918514 LMK917641:LMK918514 LWG917641:LWG918514 MGC917641:MGC918514 MPY917641:MPY918514 MZU917641:MZU918514 NJQ917641:NJQ918514 NTM917641:NTM918514 ODI917641:ODI918514 ONE917641:ONE918514 OXA917641:OXA918514 PGW917641:PGW918514 PQS917641:PQS918514 QAO917641:QAO918514 QKK917641:QKK918514 QUG917641:QUG918514 REC917641:REC918514 RNY917641:RNY918514 RXU917641:RXU918514 SHQ917641:SHQ918514 SRM917641:SRM918514 TBI917641:TBI918514 TLE917641:TLE918514 TVA917641:TVA918514 UEW917641:UEW918514 UOS917641:UOS918514 UYO917641:UYO918514 VIK917641:VIK918514 VSG917641:VSG918514 WCC917641:WCC918514 WLY917641:WLY918514 WVU917641:WVU918514 M983177:M984050 JI983177:JI984050 TE983177:TE984050 ADA983177:ADA984050 AMW983177:AMW984050 AWS983177:AWS984050 BGO983177:BGO984050 BQK983177:BQK984050 CAG983177:CAG984050 CKC983177:CKC984050 CTY983177:CTY984050 DDU983177:DDU984050 DNQ983177:DNQ984050 DXM983177:DXM984050 EHI983177:EHI984050 ERE983177:ERE984050 FBA983177:FBA984050 FKW983177:FKW984050 FUS983177:FUS984050 GEO983177:GEO984050 GOK983177:GOK984050 GYG983177:GYG984050 HIC983177:HIC984050 HRY983177:HRY984050 IBU983177:IBU984050 ILQ983177:ILQ984050 IVM983177:IVM984050 JFI983177:JFI984050 JPE983177:JPE984050 JZA983177:JZA984050 KIW983177:KIW984050 KSS983177:KSS984050 LCO983177:LCO984050 LMK983177:LMK984050 LWG983177:LWG984050 MGC983177:MGC984050 MPY983177:MPY984050 MZU983177:MZU984050 NJQ983177:NJQ984050 NTM983177:NTM984050 ODI983177:ODI984050 ONE983177:ONE984050 OXA983177:OXA984050 PGW983177:PGW984050 PQS983177:PQS984050 QAO983177:QAO984050 QKK983177:QKK984050 QUG983177:QUG984050 REC983177:REC984050 RNY983177:RNY984050 RXU983177:RXU984050 SHQ983177:SHQ984050 SRM983177:SRM984050 TBI983177:TBI984050 TLE983177:TLE984050 TVA983177:TVA984050 UEW983177:UEW984050 UOS983177:UOS984050 UYO983177:UYO984050 VIK983177:VIK984050 VSG983177:VSG984050 WCC983177:WCC984050 WLY983177:WLY984050 WVU983177:WVU984050 M2:M135 JI2:JI135 TE2:TE135 ADA2:ADA135 AMW2:AMW135 AWS2:AWS135 BGO2:BGO135 BQK2:BQK135 CAG2:CAG135 CKC2:CKC135 CTY2:CTY135 DDU2:DDU135 DNQ2:DNQ135 DXM2:DXM135 EHI2:EHI135 ERE2:ERE135 FBA2:FBA135 FKW2:FKW135 FUS2:FUS135 GEO2:GEO135 GOK2:GOK135 GYG2:GYG135 HIC2:HIC135 HRY2:HRY135 IBU2:IBU135 ILQ2:ILQ135 IVM2:IVM135 JFI2:JFI135 JPE2:JPE135 JZA2:JZA135 KIW2:KIW135 KSS2:KSS135 LCO2:LCO135 LMK2:LMK135 LWG2:LWG135 MGC2:MGC135 MPY2:MPY135 MZU2:MZU135 NJQ2:NJQ135 NTM2:NTM135 ODI2:ODI135 ONE2:ONE135 OXA2:OXA135 PGW2:PGW135 PQS2:PQS135 QAO2:QAO135 QKK2:QKK135 QUG2:QUG135 REC2:REC135 RNY2:RNY135 RXU2:RXU135 SHQ2:SHQ135 SRM2:SRM135 TBI2:TBI135 TLE2:TLE135 TVA2:TVA135 UEW2:UEW135 UOS2:UOS135 UYO2:UYO135 VIK2:VIK135 VSG2:VSG135 WCC2:WCC135 WLY2:WLY135 WVU2:WVU135 M65538:M65671 JI65538:JI65671 TE65538:TE65671 ADA65538:ADA65671 AMW65538:AMW65671 AWS65538:AWS65671 BGO65538:BGO65671 BQK65538:BQK65671 CAG65538:CAG65671 CKC65538:CKC65671 CTY65538:CTY65671 DDU65538:DDU65671 DNQ65538:DNQ65671 DXM65538:DXM65671 EHI65538:EHI65671 ERE65538:ERE65671 FBA65538:FBA65671 FKW65538:FKW65671 FUS65538:FUS65671 GEO65538:GEO65671 GOK65538:GOK65671 GYG65538:GYG65671 HIC65538:HIC65671 HRY65538:HRY65671 IBU65538:IBU65671 ILQ65538:ILQ65671 IVM65538:IVM65671 JFI65538:JFI65671 JPE65538:JPE65671 JZA65538:JZA65671 KIW65538:KIW65671 KSS65538:KSS65671 LCO65538:LCO65671 LMK65538:LMK65671 LWG65538:LWG65671 MGC65538:MGC65671 MPY65538:MPY65671 MZU65538:MZU65671 NJQ65538:NJQ65671 NTM65538:NTM65671 ODI65538:ODI65671 ONE65538:ONE65671 OXA65538:OXA65671 PGW65538:PGW65671 PQS65538:PQS65671 QAO65538:QAO65671 QKK65538:QKK65671 QUG65538:QUG65671 REC65538:REC65671 RNY65538:RNY65671 RXU65538:RXU65671 SHQ65538:SHQ65671 SRM65538:SRM65671 TBI65538:TBI65671 TLE65538:TLE65671 TVA65538:TVA65671 UEW65538:UEW65671 UOS65538:UOS65671 UYO65538:UYO65671 VIK65538:VIK65671 VSG65538:VSG65671 WCC65538:WCC65671 WLY65538:WLY65671 WVU65538:WVU65671 M131074:M131207 JI131074:JI131207 TE131074:TE131207 ADA131074:ADA131207 AMW131074:AMW131207 AWS131074:AWS131207 BGO131074:BGO131207 BQK131074:BQK131207 CAG131074:CAG131207 CKC131074:CKC131207 CTY131074:CTY131207 DDU131074:DDU131207 DNQ131074:DNQ131207 DXM131074:DXM131207 EHI131074:EHI131207 ERE131074:ERE131207 FBA131074:FBA131207 FKW131074:FKW131207 FUS131074:FUS131207 GEO131074:GEO131207 GOK131074:GOK131207 GYG131074:GYG131207 HIC131074:HIC131207 HRY131074:HRY131207 IBU131074:IBU131207 ILQ131074:ILQ131207 IVM131074:IVM131207 JFI131074:JFI131207 JPE131074:JPE131207 JZA131074:JZA131207 KIW131074:KIW131207 KSS131074:KSS131207 LCO131074:LCO131207 LMK131074:LMK131207 LWG131074:LWG131207 MGC131074:MGC131207 MPY131074:MPY131207 MZU131074:MZU131207 NJQ131074:NJQ131207 NTM131074:NTM131207 ODI131074:ODI131207 ONE131074:ONE131207 OXA131074:OXA131207 PGW131074:PGW131207 PQS131074:PQS131207 QAO131074:QAO131207 QKK131074:QKK131207 QUG131074:QUG131207 REC131074:REC131207 RNY131074:RNY131207 RXU131074:RXU131207 SHQ131074:SHQ131207 SRM131074:SRM131207 TBI131074:TBI131207 TLE131074:TLE131207 TVA131074:TVA131207 UEW131074:UEW131207 UOS131074:UOS131207 UYO131074:UYO131207 VIK131074:VIK131207 VSG131074:VSG131207 WCC131074:WCC131207 WLY131074:WLY131207 WVU131074:WVU131207 M196610:M196743 JI196610:JI196743 TE196610:TE196743 ADA196610:ADA196743 AMW196610:AMW196743 AWS196610:AWS196743 BGO196610:BGO196743 BQK196610:BQK196743 CAG196610:CAG196743 CKC196610:CKC196743 CTY196610:CTY196743 DDU196610:DDU196743 DNQ196610:DNQ196743 DXM196610:DXM196743 EHI196610:EHI196743 ERE196610:ERE196743 FBA196610:FBA196743 FKW196610:FKW196743 FUS196610:FUS196743 GEO196610:GEO196743 GOK196610:GOK196743 GYG196610:GYG196743 HIC196610:HIC196743 HRY196610:HRY196743 IBU196610:IBU196743 ILQ196610:ILQ196743 IVM196610:IVM196743 JFI196610:JFI196743 JPE196610:JPE196743 JZA196610:JZA196743 KIW196610:KIW196743 KSS196610:KSS196743 LCO196610:LCO196743 LMK196610:LMK196743 LWG196610:LWG196743 MGC196610:MGC196743 MPY196610:MPY196743 MZU196610:MZU196743 NJQ196610:NJQ196743 NTM196610:NTM196743 ODI196610:ODI196743 ONE196610:ONE196743 OXA196610:OXA196743 PGW196610:PGW196743 PQS196610:PQS196743 QAO196610:QAO196743 QKK196610:QKK196743 QUG196610:QUG196743 REC196610:REC196743 RNY196610:RNY196743 RXU196610:RXU196743 SHQ196610:SHQ196743 SRM196610:SRM196743 TBI196610:TBI196743 TLE196610:TLE196743 TVA196610:TVA196743 UEW196610:UEW196743 UOS196610:UOS196743 UYO196610:UYO196743 VIK196610:VIK196743 VSG196610:VSG196743 WCC196610:WCC196743 WLY196610:WLY196743 WVU196610:WVU196743 M262146:M262279 JI262146:JI262279 TE262146:TE262279 ADA262146:ADA262279 AMW262146:AMW262279 AWS262146:AWS262279 BGO262146:BGO262279 BQK262146:BQK262279 CAG262146:CAG262279 CKC262146:CKC262279 CTY262146:CTY262279 DDU262146:DDU262279 DNQ262146:DNQ262279 DXM262146:DXM262279 EHI262146:EHI262279 ERE262146:ERE262279 FBA262146:FBA262279 FKW262146:FKW262279 FUS262146:FUS262279 GEO262146:GEO262279 GOK262146:GOK262279 GYG262146:GYG262279 HIC262146:HIC262279 HRY262146:HRY262279 IBU262146:IBU262279 ILQ262146:ILQ262279 IVM262146:IVM262279 JFI262146:JFI262279 JPE262146:JPE262279 JZA262146:JZA262279 KIW262146:KIW262279 KSS262146:KSS262279 LCO262146:LCO262279 LMK262146:LMK262279 LWG262146:LWG262279 MGC262146:MGC262279 MPY262146:MPY262279 MZU262146:MZU262279 NJQ262146:NJQ262279 NTM262146:NTM262279 ODI262146:ODI262279 ONE262146:ONE262279 OXA262146:OXA262279 PGW262146:PGW262279 PQS262146:PQS262279 QAO262146:QAO262279 QKK262146:QKK262279 QUG262146:QUG262279 REC262146:REC262279 RNY262146:RNY262279 RXU262146:RXU262279 SHQ262146:SHQ262279 SRM262146:SRM262279 TBI262146:TBI262279 TLE262146:TLE262279 TVA262146:TVA262279 UEW262146:UEW262279 UOS262146:UOS262279 UYO262146:UYO262279 VIK262146:VIK262279 VSG262146:VSG262279 WCC262146:WCC262279 WLY262146:WLY262279 WVU262146:WVU262279 M327682:M327815 JI327682:JI327815 TE327682:TE327815 ADA327682:ADA327815 AMW327682:AMW327815 AWS327682:AWS327815 BGO327682:BGO327815 BQK327682:BQK327815 CAG327682:CAG327815 CKC327682:CKC327815 CTY327682:CTY327815 DDU327682:DDU327815 DNQ327682:DNQ327815 DXM327682:DXM327815 EHI327682:EHI327815 ERE327682:ERE327815 FBA327682:FBA327815 FKW327682:FKW327815 FUS327682:FUS327815 GEO327682:GEO327815 GOK327682:GOK327815 GYG327682:GYG327815 HIC327682:HIC327815 HRY327682:HRY327815 IBU327682:IBU327815 ILQ327682:ILQ327815 IVM327682:IVM327815 JFI327682:JFI327815 JPE327682:JPE327815 JZA327682:JZA327815 KIW327682:KIW327815 KSS327682:KSS327815 LCO327682:LCO327815 LMK327682:LMK327815 LWG327682:LWG327815 MGC327682:MGC327815 MPY327682:MPY327815 MZU327682:MZU327815 NJQ327682:NJQ327815 NTM327682:NTM327815 ODI327682:ODI327815 ONE327682:ONE327815 OXA327682:OXA327815 PGW327682:PGW327815 PQS327682:PQS327815 QAO327682:QAO327815 QKK327682:QKK327815 QUG327682:QUG327815 REC327682:REC327815 RNY327682:RNY327815 RXU327682:RXU327815 SHQ327682:SHQ327815 SRM327682:SRM327815 TBI327682:TBI327815 TLE327682:TLE327815 TVA327682:TVA327815 UEW327682:UEW327815 UOS327682:UOS327815 UYO327682:UYO327815 VIK327682:VIK327815 VSG327682:VSG327815 WCC327682:WCC327815 WLY327682:WLY327815 WVU327682:WVU327815 M393218:M393351 JI393218:JI393351 TE393218:TE393351 ADA393218:ADA393351 AMW393218:AMW393351 AWS393218:AWS393351 BGO393218:BGO393351 BQK393218:BQK393351 CAG393218:CAG393351 CKC393218:CKC393351 CTY393218:CTY393351 DDU393218:DDU393351 DNQ393218:DNQ393351 DXM393218:DXM393351 EHI393218:EHI393351 ERE393218:ERE393351 FBA393218:FBA393351 FKW393218:FKW393351 FUS393218:FUS393351 GEO393218:GEO393351 GOK393218:GOK393351 GYG393218:GYG393351 HIC393218:HIC393351 HRY393218:HRY393351 IBU393218:IBU393351 ILQ393218:ILQ393351 IVM393218:IVM393351 JFI393218:JFI393351 JPE393218:JPE393351 JZA393218:JZA393351 KIW393218:KIW393351 KSS393218:KSS393351 LCO393218:LCO393351 LMK393218:LMK393351 LWG393218:LWG393351 MGC393218:MGC393351 MPY393218:MPY393351 MZU393218:MZU393351 NJQ393218:NJQ393351 NTM393218:NTM393351 ODI393218:ODI393351 ONE393218:ONE393351 OXA393218:OXA393351 PGW393218:PGW393351 PQS393218:PQS393351 QAO393218:QAO393351 QKK393218:QKK393351 QUG393218:QUG393351 REC393218:REC393351 RNY393218:RNY393351 RXU393218:RXU393351 SHQ393218:SHQ393351 SRM393218:SRM393351 TBI393218:TBI393351 TLE393218:TLE393351 TVA393218:TVA393351 UEW393218:UEW393351 UOS393218:UOS393351 UYO393218:UYO393351 VIK393218:VIK393351 VSG393218:VSG393351 WCC393218:WCC393351 WLY393218:WLY393351 WVU393218:WVU393351 M458754:M458887 JI458754:JI458887 TE458754:TE458887 ADA458754:ADA458887 AMW458754:AMW458887 AWS458754:AWS458887 BGO458754:BGO458887 BQK458754:BQK458887 CAG458754:CAG458887 CKC458754:CKC458887 CTY458754:CTY458887 DDU458754:DDU458887 DNQ458754:DNQ458887 DXM458754:DXM458887 EHI458754:EHI458887 ERE458754:ERE458887 FBA458754:FBA458887 FKW458754:FKW458887 FUS458754:FUS458887 GEO458754:GEO458887 GOK458754:GOK458887 GYG458754:GYG458887 HIC458754:HIC458887 HRY458754:HRY458887 IBU458754:IBU458887 ILQ458754:ILQ458887 IVM458754:IVM458887 JFI458754:JFI458887 JPE458754:JPE458887 JZA458754:JZA458887 KIW458754:KIW458887 KSS458754:KSS458887 LCO458754:LCO458887 LMK458754:LMK458887 LWG458754:LWG458887 MGC458754:MGC458887 MPY458754:MPY458887 MZU458754:MZU458887 NJQ458754:NJQ458887 NTM458754:NTM458887 ODI458754:ODI458887 ONE458754:ONE458887 OXA458754:OXA458887 PGW458754:PGW458887 PQS458754:PQS458887 QAO458754:QAO458887 QKK458754:QKK458887 QUG458754:QUG458887 REC458754:REC458887 RNY458754:RNY458887 RXU458754:RXU458887 SHQ458754:SHQ458887 SRM458754:SRM458887 TBI458754:TBI458887 TLE458754:TLE458887 TVA458754:TVA458887 UEW458754:UEW458887 UOS458754:UOS458887 UYO458754:UYO458887 VIK458754:VIK458887 VSG458754:VSG458887 WCC458754:WCC458887 WLY458754:WLY458887 WVU458754:WVU458887 M524290:M524423 JI524290:JI524423 TE524290:TE524423 ADA524290:ADA524423 AMW524290:AMW524423 AWS524290:AWS524423 BGO524290:BGO524423 BQK524290:BQK524423 CAG524290:CAG524423 CKC524290:CKC524423 CTY524290:CTY524423 DDU524290:DDU524423 DNQ524290:DNQ524423 DXM524290:DXM524423 EHI524290:EHI524423 ERE524290:ERE524423 FBA524290:FBA524423 FKW524290:FKW524423 FUS524290:FUS524423 GEO524290:GEO524423 GOK524290:GOK524423 GYG524290:GYG524423 HIC524290:HIC524423 HRY524290:HRY524423 IBU524290:IBU524423 ILQ524290:ILQ524423 IVM524290:IVM524423 JFI524290:JFI524423 JPE524290:JPE524423 JZA524290:JZA524423 KIW524290:KIW524423 KSS524290:KSS524423 LCO524290:LCO524423 LMK524290:LMK524423 LWG524290:LWG524423 MGC524290:MGC524423 MPY524290:MPY524423 MZU524290:MZU524423 NJQ524290:NJQ524423 NTM524290:NTM524423 ODI524290:ODI524423 ONE524290:ONE524423 OXA524290:OXA524423 PGW524290:PGW524423 PQS524290:PQS524423 QAO524290:QAO524423 QKK524290:QKK524423 QUG524290:QUG524423 REC524290:REC524423 RNY524290:RNY524423 RXU524290:RXU524423 SHQ524290:SHQ524423 SRM524290:SRM524423 TBI524290:TBI524423 TLE524290:TLE524423 TVA524290:TVA524423 UEW524290:UEW524423 UOS524290:UOS524423 UYO524290:UYO524423 VIK524290:VIK524423 VSG524290:VSG524423 WCC524290:WCC524423 WLY524290:WLY524423 WVU524290:WVU524423 M589826:M589959 JI589826:JI589959 TE589826:TE589959 ADA589826:ADA589959 AMW589826:AMW589959 AWS589826:AWS589959 BGO589826:BGO589959 BQK589826:BQK589959 CAG589826:CAG589959 CKC589826:CKC589959 CTY589826:CTY589959 DDU589826:DDU589959 DNQ589826:DNQ589959 DXM589826:DXM589959 EHI589826:EHI589959 ERE589826:ERE589959 FBA589826:FBA589959 FKW589826:FKW589959 FUS589826:FUS589959 GEO589826:GEO589959 GOK589826:GOK589959 GYG589826:GYG589959 HIC589826:HIC589959 HRY589826:HRY589959 IBU589826:IBU589959 ILQ589826:ILQ589959 IVM589826:IVM589959 JFI589826:JFI589959 JPE589826:JPE589959 JZA589826:JZA589959 KIW589826:KIW589959 KSS589826:KSS589959 LCO589826:LCO589959 LMK589826:LMK589959 LWG589826:LWG589959 MGC589826:MGC589959 MPY589826:MPY589959 MZU589826:MZU589959 NJQ589826:NJQ589959 NTM589826:NTM589959 ODI589826:ODI589959 ONE589826:ONE589959 OXA589826:OXA589959 PGW589826:PGW589959 PQS589826:PQS589959 QAO589826:QAO589959 QKK589826:QKK589959 QUG589826:QUG589959 REC589826:REC589959 RNY589826:RNY589959 RXU589826:RXU589959 SHQ589826:SHQ589959 SRM589826:SRM589959 TBI589826:TBI589959 TLE589826:TLE589959 TVA589826:TVA589959 UEW589826:UEW589959 UOS589826:UOS589959 UYO589826:UYO589959 VIK589826:VIK589959 VSG589826:VSG589959 WCC589826:WCC589959 WLY589826:WLY589959 WVU589826:WVU589959 M655362:M655495 JI655362:JI655495 TE655362:TE655495 ADA655362:ADA655495 AMW655362:AMW655495 AWS655362:AWS655495 BGO655362:BGO655495 BQK655362:BQK655495 CAG655362:CAG655495 CKC655362:CKC655495 CTY655362:CTY655495 DDU655362:DDU655495 DNQ655362:DNQ655495 DXM655362:DXM655495 EHI655362:EHI655495 ERE655362:ERE655495 FBA655362:FBA655495 FKW655362:FKW655495 FUS655362:FUS655495 GEO655362:GEO655495 GOK655362:GOK655495 GYG655362:GYG655495 HIC655362:HIC655495 HRY655362:HRY655495 IBU655362:IBU655495 ILQ655362:ILQ655495 IVM655362:IVM655495 JFI655362:JFI655495 JPE655362:JPE655495 JZA655362:JZA655495 KIW655362:KIW655495 KSS655362:KSS655495 LCO655362:LCO655495 LMK655362:LMK655495 LWG655362:LWG655495 MGC655362:MGC655495 MPY655362:MPY655495 MZU655362:MZU655495 NJQ655362:NJQ655495 NTM655362:NTM655495 ODI655362:ODI655495 ONE655362:ONE655495 OXA655362:OXA655495 PGW655362:PGW655495 PQS655362:PQS655495 QAO655362:QAO655495 QKK655362:QKK655495 QUG655362:QUG655495 REC655362:REC655495 RNY655362:RNY655495 RXU655362:RXU655495 SHQ655362:SHQ655495 SRM655362:SRM655495 TBI655362:TBI655495 TLE655362:TLE655495 TVA655362:TVA655495 UEW655362:UEW655495 UOS655362:UOS655495 UYO655362:UYO655495 VIK655362:VIK655495 VSG655362:VSG655495 WCC655362:WCC655495 WLY655362:WLY655495 WVU655362:WVU655495 M720898:M721031 JI720898:JI721031 TE720898:TE721031 ADA720898:ADA721031 AMW720898:AMW721031 AWS720898:AWS721031 BGO720898:BGO721031 BQK720898:BQK721031 CAG720898:CAG721031 CKC720898:CKC721031 CTY720898:CTY721031 DDU720898:DDU721031 DNQ720898:DNQ721031 DXM720898:DXM721031 EHI720898:EHI721031 ERE720898:ERE721031 FBA720898:FBA721031 FKW720898:FKW721031 FUS720898:FUS721031 GEO720898:GEO721031 GOK720898:GOK721031 GYG720898:GYG721031 HIC720898:HIC721031 HRY720898:HRY721031 IBU720898:IBU721031 ILQ720898:ILQ721031 IVM720898:IVM721031 JFI720898:JFI721031 JPE720898:JPE721031 JZA720898:JZA721031 KIW720898:KIW721031 KSS720898:KSS721031 LCO720898:LCO721031 LMK720898:LMK721031 LWG720898:LWG721031 MGC720898:MGC721031 MPY720898:MPY721031 MZU720898:MZU721031 NJQ720898:NJQ721031 NTM720898:NTM721031 ODI720898:ODI721031 ONE720898:ONE721031 OXA720898:OXA721031 PGW720898:PGW721031 PQS720898:PQS721031 QAO720898:QAO721031 QKK720898:QKK721031 QUG720898:QUG721031 REC720898:REC721031 RNY720898:RNY721031 RXU720898:RXU721031 SHQ720898:SHQ721031 SRM720898:SRM721031 TBI720898:TBI721031 TLE720898:TLE721031 TVA720898:TVA721031 UEW720898:UEW721031 UOS720898:UOS721031 UYO720898:UYO721031 VIK720898:VIK721031 VSG720898:VSG721031 WCC720898:WCC721031 WLY720898:WLY721031 WVU720898:WVU721031 M786434:M786567 JI786434:JI786567 TE786434:TE786567 ADA786434:ADA786567 AMW786434:AMW786567 AWS786434:AWS786567 BGO786434:BGO786567 BQK786434:BQK786567 CAG786434:CAG786567 CKC786434:CKC786567 CTY786434:CTY786567 DDU786434:DDU786567 DNQ786434:DNQ786567 DXM786434:DXM786567 EHI786434:EHI786567 ERE786434:ERE786567 FBA786434:FBA786567 FKW786434:FKW786567 FUS786434:FUS786567 GEO786434:GEO786567 GOK786434:GOK786567 GYG786434:GYG786567 HIC786434:HIC786567 HRY786434:HRY786567 IBU786434:IBU786567 ILQ786434:ILQ786567 IVM786434:IVM786567 JFI786434:JFI786567 JPE786434:JPE786567 JZA786434:JZA786567 KIW786434:KIW786567 KSS786434:KSS786567 LCO786434:LCO786567 LMK786434:LMK786567 LWG786434:LWG786567 MGC786434:MGC786567 MPY786434:MPY786567 MZU786434:MZU786567 NJQ786434:NJQ786567 NTM786434:NTM786567 ODI786434:ODI786567 ONE786434:ONE786567 OXA786434:OXA786567 PGW786434:PGW786567 PQS786434:PQS786567 QAO786434:QAO786567 QKK786434:QKK786567 QUG786434:QUG786567 REC786434:REC786567 RNY786434:RNY786567 RXU786434:RXU786567 SHQ786434:SHQ786567 SRM786434:SRM786567 TBI786434:TBI786567 TLE786434:TLE786567 TVA786434:TVA786567 UEW786434:UEW786567 UOS786434:UOS786567 UYO786434:UYO786567 VIK786434:VIK786567 VSG786434:VSG786567 WCC786434:WCC786567 WLY786434:WLY786567 WVU786434:WVU786567 M851970:M852103 JI851970:JI852103 TE851970:TE852103 ADA851970:ADA852103 AMW851970:AMW852103 AWS851970:AWS852103 BGO851970:BGO852103 BQK851970:BQK852103 CAG851970:CAG852103 CKC851970:CKC852103 CTY851970:CTY852103 DDU851970:DDU852103 DNQ851970:DNQ852103 DXM851970:DXM852103 EHI851970:EHI852103 ERE851970:ERE852103 FBA851970:FBA852103 FKW851970:FKW852103 FUS851970:FUS852103 GEO851970:GEO852103 GOK851970:GOK852103 GYG851970:GYG852103 HIC851970:HIC852103 HRY851970:HRY852103 IBU851970:IBU852103 ILQ851970:ILQ852103 IVM851970:IVM852103 JFI851970:JFI852103 JPE851970:JPE852103 JZA851970:JZA852103 KIW851970:KIW852103 KSS851970:KSS852103 LCO851970:LCO852103 LMK851970:LMK852103 LWG851970:LWG852103 MGC851970:MGC852103 MPY851970:MPY852103 MZU851970:MZU852103 NJQ851970:NJQ852103 NTM851970:NTM852103 ODI851970:ODI852103 ONE851970:ONE852103 OXA851970:OXA852103 PGW851970:PGW852103 PQS851970:PQS852103 QAO851970:QAO852103 QKK851970:QKK852103 QUG851970:QUG852103 REC851970:REC852103 RNY851970:RNY852103 RXU851970:RXU852103 SHQ851970:SHQ852103 SRM851970:SRM852103 TBI851970:TBI852103 TLE851970:TLE852103 TVA851970:TVA852103 UEW851970:UEW852103 UOS851970:UOS852103 UYO851970:UYO852103 VIK851970:VIK852103 VSG851970:VSG852103 WCC851970:WCC852103 WLY851970:WLY852103 WVU851970:WVU852103 M917506:M917639 JI917506:JI917639 TE917506:TE917639 ADA917506:ADA917639 AMW917506:AMW917639 AWS917506:AWS917639 BGO917506:BGO917639 BQK917506:BQK917639 CAG917506:CAG917639 CKC917506:CKC917639 CTY917506:CTY917639 DDU917506:DDU917639 DNQ917506:DNQ917639 DXM917506:DXM917639 EHI917506:EHI917639 ERE917506:ERE917639 FBA917506:FBA917639 FKW917506:FKW917639 FUS917506:FUS917639 GEO917506:GEO917639 GOK917506:GOK917639 GYG917506:GYG917639 HIC917506:HIC917639 HRY917506:HRY917639 IBU917506:IBU917639 ILQ917506:ILQ917639 IVM917506:IVM917639 JFI917506:JFI917639 JPE917506:JPE917639 JZA917506:JZA917639 KIW917506:KIW917639 KSS917506:KSS917639 LCO917506:LCO917639 LMK917506:LMK917639 LWG917506:LWG917639 MGC917506:MGC917639 MPY917506:MPY917639 MZU917506:MZU917639 NJQ917506:NJQ917639 NTM917506:NTM917639 ODI917506:ODI917639 ONE917506:ONE917639 OXA917506:OXA917639 PGW917506:PGW917639 PQS917506:PQS917639 QAO917506:QAO917639 QKK917506:QKK917639 QUG917506:QUG917639 REC917506:REC917639 RNY917506:RNY917639 RXU917506:RXU917639 SHQ917506:SHQ917639 SRM917506:SRM917639 TBI917506:TBI917639 TLE917506:TLE917639 TVA917506:TVA917639 UEW917506:UEW917639 UOS917506:UOS917639 UYO917506:UYO917639 VIK917506:VIK917639 VSG917506:VSG917639 WCC917506:WCC917639 WLY917506:WLY917639 WVU917506:WVU917639 M983042:M983175 JI983042:JI983175 TE983042:TE983175 ADA983042:ADA983175 AMW983042:AMW983175 AWS983042:AWS983175 BGO983042:BGO983175 BQK983042:BQK983175 CAG983042:CAG983175 CKC983042:CKC983175 CTY983042:CTY983175 DDU983042:DDU983175 DNQ983042:DNQ983175 DXM983042:DXM983175 EHI983042:EHI983175 ERE983042:ERE983175 FBA983042:FBA983175 FKW983042:FKW983175 FUS983042:FUS983175 GEO983042:GEO983175 GOK983042:GOK983175 GYG983042:GYG983175 HIC983042:HIC983175 HRY983042:HRY983175 IBU983042:IBU983175 ILQ983042:ILQ983175 IVM983042:IVM983175 JFI983042:JFI983175 JPE983042:JPE983175 JZA983042:JZA983175 KIW983042:KIW983175 KSS983042:KSS983175 LCO983042:LCO983175 LMK983042:LMK983175 LWG983042:LWG983175 MGC983042:MGC983175 MPY983042:MPY983175 MZU983042:MZU983175 NJQ983042:NJQ983175 NTM983042:NTM983175 ODI983042:ODI983175 ONE983042:ONE983175 OXA983042:OXA983175 PGW983042:PGW983175 PQS983042:PQS983175 QAO983042:QAO983175 QKK983042:QKK983175 QUG983042:QUG983175 REC983042:REC983175 RNY983042:RNY983175 RXU983042:RXU983175 SHQ983042:SHQ983175 SRM983042:SRM983175 TBI983042:TBI983175 TLE983042:TLE983175 TVA983042:TVA983175 UEW983042:UEW983175 UOS983042:UOS983175 UYO983042:UYO983175 VIK983042:VIK983175 VSG983042:VSG983175 WCC983042:WCC983175 WLY983042:WLY983175 WVU983042:WVU983175">
      <formula1>AND(M2/Timer_Cycle &lt;=65535,M2/Timer_Cycle &gt;=0)</formula1>
    </dataValidation>
  </dataValidations>
  <pageMargins left="0.7" right="0.7" top="0.75" bottom="0.75" header="0.3" footer="0.3"/>
  <pageSetup orientation="portrait" r:id="rId1"/>
  <drawing r:id="rId2"/>
  <legacyDrawing r:id="rId3"/>
  <oleObjects>
    <oleObject progId="PBrush" shapeId="27649" r:id="rId4"/>
    <oleObject progId="PBrush" shapeId="27650" r:id="rId5"/>
    <oleObject progId="PBrush" shapeId="27651" r:id="rId6"/>
  </oleObjects>
</worksheet>
</file>

<file path=xl/worksheets/sheet2.xml><?xml version="1.0" encoding="utf-8"?>
<worksheet xmlns="http://schemas.openxmlformats.org/spreadsheetml/2006/main" xmlns:r="http://schemas.openxmlformats.org/officeDocument/2006/relationships">
  <sheetPr codeName="Sheet4"/>
  <dimension ref="A1:W192"/>
  <sheetViews>
    <sheetView zoomScale="85" zoomScaleNormal="85" workbookViewId="0">
      <pane xSplit="2" ySplit="1" topLeftCell="C41" activePane="bottomRight" state="frozen"/>
      <selection activeCell="C36" sqref="C36"/>
      <selection pane="topRight" activeCell="C36" sqref="C36"/>
      <selection pane="bottomLeft" activeCell="C36" sqref="C36"/>
      <selection pane="bottomRight" activeCell="H99" sqref="H99"/>
    </sheetView>
  </sheetViews>
  <sheetFormatPr defaultRowHeight="14.25"/>
  <cols>
    <col min="1" max="1" width="5.625" bestFit="1" customWidth="1"/>
    <col min="2" max="2" width="22.625" bestFit="1" customWidth="1"/>
    <col min="3" max="3" width="18.25" bestFit="1" customWidth="1"/>
    <col min="4" max="4" width="13.125" bestFit="1" customWidth="1"/>
    <col min="5" max="5" width="23.25" style="5" bestFit="1" customWidth="1"/>
    <col min="6" max="6" width="26.125" bestFit="1" customWidth="1"/>
    <col min="7" max="7" width="10.75" style="5" bestFit="1" customWidth="1"/>
    <col min="8" max="8" width="11.5" style="5" bestFit="1" customWidth="1"/>
    <col min="9" max="9" width="31" style="5" bestFit="1" customWidth="1"/>
    <col min="10" max="10" width="10.375" bestFit="1" customWidth="1"/>
    <col min="11" max="11" width="28" bestFit="1" customWidth="1"/>
    <col min="12" max="12" width="13.25" bestFit="1" customWidth="1"/>
    <col min="13" max="13" width="34" bestFit="1" customWidth="1"/>
    <col min="14" max="14" width="26.875" bestFit="1" customWidth="1"/>
    <col min="15" max="15" width="26.5" bestFit="1" customWidth="1"/>
    <col min="16" max="16" width="29.625" bestFit="1" customWidth="1"/>
    <col min="17" max="17" width="23.25" bestFit="1" customWidth="1"/>
    <col min="18" max="18" width="12.125" customWidth="1"/>
    <col min="19" max="19" width="29.625" style="42" bestFit="1" customWidth="1"/>
    <col min="20" max="20" width="25.375" style="42" bestFit="1" customWidth="1"/>
    <col min="22" max="22" width="23.25" bestFit="1" customWidth="1"/>
    <col min="23" max="23" width="12.125" bestFit="1" customWidth="1"/>
  </cols>
  <sheetData>
    <row r="1" spans="1:23" s="37" customFormat="1" ht="24.75" customHeight="1">
      <c r="A1" s="38" t="s">
        <v>0</v>
      </c>
      <c r="B1" s="38" t="s">
        <v>1</v>
      </c>
      <c r="C1" s="38" t="s">
        <v>89</v>
      </c>
      <c r="D1" s="38" t="s">
        <v>90</v>
      </c>
      <c r="E1" s="38" t="s">
        <v>2</v>
      </c>
      <c r="F1" s="38" t="s">
        <v>91</v>
      </c>
      <c r="G1" s="38" t="s">
        <v>92</v>
      </c>
      <c r="H1" s="38" t="s">
        <v>93</v>
      </c>
      <c r="I1" s="38" t="s">
        <v>95</v>
      </c>
      <c r="J1" s="38" t="s">
        <v>10</v>
      </c>
      <c r="K1" s="38" t="s">
        <v>782</v>
      </c>
      <c r="L1" s="38" t="s">
        <v>94</v>
      </c>
      <c r="M1" s="38" t="s">
        <v>96</v>
      </c>
      <c r="N1" s="38" t="s">
        <v>785</v>
      </c>
      <c r="O1" s="38" t="s">
        <v>783</v>
      </c>
      <c r="P1" s="38" t="s">
        <v>784</v>
      </c>
      <c r="Q1" s="38" t="s">
        <v>972</v>
      </c>
      <c r="R1" s="38" t="s">
        <v>973</v>
      </c>
      <c r="S1" s="40" t="s">
        <v>798</v>
      </c>
      <c r="T1" s="40" t="s">
        <v>799</v>
      </c>
      <c r="V1" s="38" t="s">
        <v>972</v>
      </c>
      <c r="W1" s="38" t="s">
        <v>973</v>
      </c>
    </row>
    <row r="2" spans="1:23">
      <c r="A2" s="16">
        <f>ROW()-1</f>
        <v>1</v>
      </c>
      <c r="B2" s="50" t="s">
        <v>97</v>
      </c>
      <c r="C2" s="2" t="s">
        <v>6</v>
      </c>
      <c r="D2" s="4" t="s">
        <v>27</v>
      </c>
      <c r="E2" s="5" t="s">
        <v>40</v>
      </c>
      <c r="F2" s="17" t="s">
        <v>811</v>
      </c>
      <c r="G2" s="3">
        <v>1000</v>
      </c>
      <c r="H2" s="3">
        <v>90</v>
      </c>
      <c r="I2" s="5" t="s">
        <v>48</v>
      </c>
      <c r="J2" s="4">
        <v>3</v>
      </c>
      <c r="K2" s="2" t="s">
        <v>11</v>
      </c>
      <c r="L2" s="2" t="s">
        <v>4</v>
      </c>
      <c r="M2" s="4" t="str">
        <f t="shared" ref="M2:M37" si="0">CONCATENATE("Telltale_",N2)</f>
        <v>Telltale_Font_fog_light</v>
      </c>
      <c r="N2" s="4" t="s">
        <v>53</v>
      </c>
      <c r="O2" s="2" t="s">
        <v>488</v>
      </c>
      <c r="P2" s="2" t="s">
        <v>488</v>
      </c>
      <c r="Q2">
        <f>IFERROR(VLOOKUP(B2,AppWarningConfig!E:K,7,FALSE),0)</f>
        <v>0</v>
      </c>
      <c r="R2" s="2">
        <f t="shared" ref="R2:R33" si="1">IFERROR(VLOOKUP(Q2,V:AW,2,FALSE),256)</f>
        <v>256</v>
      </c>
      <c r="S2" s="41" t="str">
        <f xml:space="preserve"> CONCATENATE("trigger ",B2)</f>
        <v>trigger FrontFog</v>
      </c>
      <c r="T2" s="41" t="str">
        <f xml:space="preserve"> CONCATENATE("cancel ",B2)</f>
        <v>cancel FrontFog</v>
      </c>
      <c r="V2" t="s">
        <v>984</v>
      </c>
      <c r="W2">
        <v>0</v>
      </c>
    </row>
    <row r="3" spans="1:23">
      <c r="A3" s="16">
        <f t="shared" ref="A3:A66" si="2">ROW()-1</f>
        <v>2</v>
      </c>
      <c r="B3" s="50" t="s">
        <v>98</v>
      </c>
      <c r="C3" s="2" t="s">
        <v>6</v>
      </c>
      <c r="D3" s="4" t="s">
        <v>27</v>
      </c>
      <c r="E3" s="5" t="s">
        <v>41</v>
      </c>
      <c r="F3" s="17" t="s">
        <v>811</v>
      </c>
      <c r="G3" s="3">
        <v>1000</v>
      </c>
      <c r="H3" s="3">
        <v>90</v>
      </c>
      <c r="I3" s="5" t="s">
        <v>48</v>
      </c>
      <c r="J3" s="4">
        <v>3</v>
      </c>
      <c r="K3" s="2" t="s">
        <v>11</v>
      </c>
      <c r="L3" s="2" t="s">
        <v>4</v>
      </c>
      <c r="M3" s="4" t="str">
        <f t="shared" si="0"/>
        <v>Telltale_Rear_fog_light</v>
      </c>
      <c r="N3" s="4" t="s">
        <v>54</v>
      </c>
      <c r="O3" s="2" t="s">
        <v>488</v>
      </c>
      <c r="P3" s="2" t="s">
        <v>488</v>
      </c>
      <c r="Q3">
        <f>IFERROR(VLOOKUP(B3,AppWarningConfig!E:K,7,FALSE),0)</f>
        <v>0</v>
      </c>
      <c r="R3" s="2">
        <f t="shared" si="1"/>
        <v>256</v>
      </c>
      <c r="S3" s="41" t="str">
        <f t="shared" ref="S3:S71" si="3" xml:space="preserve"> CONCATENATE("trigger ",B3)</f>
        <v>trigger RearFog</v>
      </c>
      <c r="T3" s="41" t="str">
        <f t="shared" ref="T3:T71" si="4" xml:space="preserve"> CONCATENATE("cancel ",B3)</f>
        <v>cancel RearFog</v>
      </c>
      <c r="V3" s="2" t="s">
        <v>974</v>
      </c>
      <c r="W3">
        <v>1</v>
      </c>
    </row>
    <row r="4" spans="1:23">
      <c r="A4" s="16">
        <f t="shared" si="2"/>
        <v>3</v>
      </c>
      <c r="B4" s="50" t="s">
        <v>99</v>
      </c>
      <c r="C4" s="2" t="s">
        <v>46</v>
      </c>
      <c r="D4" s="4" t="s">
        <v>27</v>
      </c>
      <c r="E4" s="5" t="s">
        <v>42</v>
      </c>
      <c r="F4" s="17" t="s">
        <v>811</v>
      </c>
      <c r="G4" s="3">
        <v>1000</v>
      </c>
      <c r="H4" s="3">
        <v>90</v>
      </c>
      <c r="I4" s="5" t="s">
        <v>48</v>
      </c>
      <c r="J4" s="4">
        <v>3</v>
      </c>
      <c r="K4" s="2" t="s">
        <v>11</v>
      </c>
      <c r="L4" s="2" t="s">
        <v>4</v>
      </c>
      <c r="M4" s="4" t="str">
        <f t="shared" si="0"/>
        <v>Telltale_Low_Beam</v>
      </c>
      <c r="N4" s="4" t="s">
        <v>56</v>
      </c>
      <c r="O4" s="2" t="s">
        <v>488</v>
      </c>
      <c r="P4" s="2" t="s">
        <v>488</v>
      </c>
      <c r="Q4">
        <f>IFERROR(VLOOKUP(B4,AppWarningConfig!E:K,7,FALSE),0)</f>
        <v>0</v>
      </c>
      <c r="R4" s="2">
        <f t="shared" si="1"/>
        <v>256</v>
      </c>
      <c r="S4" s="41" t="str">
        <f t="shared" si="3"/>
        <v>trigger LowBeam</v>
      </c>
      <c r="T4" s="41" t="str">
        <f t="shared" si="4"/>
        <v>cancel LowBeam</v>
      </c>
      <c r="V4" t="s">
        <v>975</v>
      </c>
      <c r="W4">
        <v>2</v>
      </c>
    </row>
    <row r="5" spans="1:23">
      <c r="A5" s="16">
        <f t="shared" si="2"/>
        <v>4</v>
      </c>
      <c r="B5" s="50" t="s">
        <v>304</v>
      </c>
      <c r="C5" s="2" t="s">
        <v>6</v>
      </c>
      <c r="D5" s="4" t="s">
        <v>27</v>
      </c>
      <c r="E5" s="5" t="s">
        <v>42</v>
      </c>
      <c r="F5" s="17" t="s">
        <v>811</v>
      </c>
      <c r="G5" s="3">
        <v>1000</v>
      </c>
      <c r="H5" s="3">
        <v>90</v>
      </c>
      <c r="I5" s="5" t="s">
        <v>48</v>
      </c>
      <c r="J5" s="4">
        <v>3</v>
      </c>
      <c r="K5" s="2" t="s">
        <v>11</v>
      </c>
      <c r="L5" s="2" t="s">
        <v>4</v>
      </c>
      <c r="M5" s="4" t="str">
        <f t="shared" si="0"/>
        <v>Telltale_Engine_coolant_temperature</v>
      </c>
      <c r="N5" s="4" t="s">
        <v>301</v>
      </c>
      <c r="O5" s="2" t="s">
        <v>488</v>
      </c>
      <c r="P5" s="2" t="s">
        <v>488</v>
      </c>
      <c r="Q5">
        <f>IFERROR(VLOOKUP(B5,AppWarningConfig!E:K,7,FALSE),0)</f>
        <v>0</v>
      </c>
      <c r="R5" s="2">
        <f t="shared" si="1"/>
        <v>256</v>
      </c>
      <c r="S5" s="41" t="str">
        <f t="shared" si="3"/>
        <v>trigger HighCoolantTempLCD</v>
      </c>
      <c r="T5" s="41" t="str">
        <f t="shared" si="4"/>
        <v>cancel HighCoolantTempLCD</v>
      </c>
      <c r="V5" t="s">
        <v>897</v>
      </c>
      <c r="W5">
        <v>3</v>
      </c>
    </row>
    <row r="6" spans="1:23">
      <c r="A6" s="16">
        <f t="shared" si="2"/>
        <v>5</v>
      </c>
      <c r="B6" s="51" t="s">
        <v>747</v>
      </c>
      <c r="C6" s="2" t="s">
        <v>6</v>
      </c>
      <c r="D6" s="4" t="s">
        <v>27</v>
      </c>
      <c r="E6" s="5" t="s">
        <v>42</v>
      </c>
      <c r="F6" s="17" t="s">
        <v>811</v>
      </c>
      <c r="G6" s="3">
        <v>1000</v>
      </c>
      <c r="H6" s="3">
        <v>90</v>
      </c>
      <c r="I6" s="5" t="s">
        <v>48</v>
      </c>
      <c r="J6" s="4">
        <v>3</v>
      </c>
      <c r="K6" s="2" t="s">
        <v>11</v>
      </c>
      <c r="L6" s="2" t="s">
        <v>4</v>
      </c>
      <c r="M6" s="4" t="str">
        <f t="shared" ref="M6" si="5">CONCATENATE("Telltale_",N6)</f>
        <v>Telltale_Engine_coolant_temperature</v>
      </c>
      <c r="N6" s="4" t="s">
        <v>301</v>
      </c>
      <c r="O6" s="2" t="s">
        <v>488</v>
      </c>
      <c r="P6" s="2" t="s">
        <v>488</v>
      </c>
      <c r="Q6">
        <f>IFERROR(VLOOKUP(B6,AppWarningConfig!E:K,7,FALSE),0)</f>
        <v>0</v>
      </c>
      <c r="R6" s="2">
        <f t="shared" si="1"/>
        <v>256</v>
      </c>
      <c r="S6" s="41" t="str">
        <f t="shared" si="3"/>
        <v>trigger HighCoolantTempLCDBlink</v>
      </c>
      <c r="T6" s="41" t="str">
        <f t="shared" si="4"/>
        <v>cancel HighCoolantTempLCDBlink</v>
      </c>
      <c r="V6" t="s">
        <v>899</v>
      </c>
      <c r="W6">
        <v>4</v>
      </c>
    </row>
    <row r="7" spans="1:23">
      <c r="A7" s="16">
        <f t="shared" si="2"/>
        <v>6</v>
      </c>
      <c r="B7" s="50" t="s">
        <v>102</v>
      </c>
      <c r="C7" s="2" t="s">
        <v>46</v>
      </c>
      <c r="D7" s="4" t="s">
        <v>27</v>
      </c>
      <c r="E7" s="5" t="s">
        <v>43</v>
      </c>
      <c r="F7" s="17" t="s">
        <v>811</v>
      </c>
      <c r="G7" s="3">
        <v>1000</v>
      </c>
      <c r="H7" s="3">
        <v>90</v>
      </c>
      <c r="I7" s="5" t="s">
        <v>48</v>
      </c>
      <c r="J7" s="4">
        <v>3</v>
      </c>
      <c r="K7" s="2" t="s">
        <v>11</v>
      </c>
      <c r="L7" s="2" t="s">
        <v>4</v>
      </c>
      <c r="M7" s="4" t="str">
        <f t="shared" si="0"/>
        <v>Telltale_Position_light</v>
      </c>
      <c r="N7" s="4" t="s">
        <v>55</v>
      </c>
      <c r="O7" s="2" t="s">
        <v>488</v>
      </c>
      <c r="P7" s="2" t="s">
        <v>488</v>
      </c>
      <c r="Q7">
        <f>IFERROR(VLOOKUP(B7,AppWarningConfig!E:K,7,FALSE),0)</f>
        <v>0</v>
      </c>
      <c r="R7" s="2">
        <f t="shared" si="1"/>
        <v>256</v>
      </c>
      <c r="S7" s="41" t="str">
        <f t="shared" si="3"/>
        <v>trigger PositionLight</v>
      </c>
      <c r="T7" s="41" t="str">
        <f t="shared" si="4"/>
        <v>cancel PositionLight</v>
      </c>
      <c r="V7" t="s">
        <v>901</v>
      </c>
      <c r="W7">
        <v>5</v>
      </c>
    </row>
    <row r="8" spans="1:23">
      <c r="A8" s="16">
        <f t="shared" si="2"/>
        <v>7</v>
      </c>
      <c r="B8" s="50" t="s">
        <v>101</v>
      </c>
      <c r="C8" s="2" t="s">
        <v>6</v>
      </c>
      <c r="D8" s="4" t="s">
        <v>27</v>
      </c>
      <c r="E8" s="5" t="s">
        <v>43</v>
      </c>
      <c r="F8" s="17" t="s">
        <v>811</v>
      </c>
      <c r="G8" s="3">
        <v>1000</v>
      </c>
      <c r="H8" s="3">
        <v>90</v>
      </c>
      <c r="I8" s="5" t="s">
        <v>48</v>
      </c>
      <c r="J8" s="4">
        <v>3</v>
      </c>
      <c r="K8" s="2" t="s">
        <v>11</v>
      </c>
      <c r="L8" s="2" t="s">
        <v>4</v>
      </c>
      <c r="M8" s="4" t="str">
        <f t="shared" si="0"/>
        <v>Telltale_DRL</v>
      </c>
      <c r="N8" s="4" t="s">
        <v>57</v>
      </c>
      <c r="O8" s="2" t="s">
        <v>488</v>
      </c>
      <c r="P8" s="2" t="s">
        <v>488</v>
      </c>
      <c r="Q8">
        <f>IFERROR(VLOOKUP(B8,AppWarningConfig!E:K,7,FALSE),0)</f>
        <v>0</v>
      </c>
      <c r="R8" s="2">
        <f t="shared" si="1"/>
        <v>256</v>
      </c>
      <c r="S8" s="41" t="str">
        <f t="shared" si="3"/>
        <v>trigger DayLight</v>
      </c>
      <c r="T8" s="41" t="str">
        <f t="shared" si="4"/>
        <v>cancel DayLight</v>
      </c>
      <c r="V8" t="s">
        <v>976</v>
      </c>
      <c r="W8">
        <v>6</v>
      </c>
    </row>
    <row r="9" spans="1:23">
      <c r="A9" s="16">
        <f t="shared" si="2"/>
        <v>8</v>
      </c>
      <c r="B9" s="50" t="s">
        <v>104</v>
      </c>
      <c r="C9" s="2" t="s">
        <v>6</v>
      </c>
      <c r="D9" s="4" t="s">
        <v>27</v>
      </c>
      <c r="E9" s="5" t="s">
        <v>36</v>
      </c>
      <c r="F9" s="17" t="s">
        <v>811</v>
      </c>
      <c r="G9" s="3">
        <v>1000</v>
      </c>
      <c r="H9" s="3">
        <v>90</v>
      </c>
      <c r="I9" s="5" t="s">
        <v>48</v>
      </c>
      <c r="J9" s="4">
        <v>3</v>
      </c>
      <c r="K9" s="2" t="s">
        <v>11</v>
      </c>
      <c r="L9" s="2" t="s">
        <v>4</v>
      </c>
      <c r="M9" s="4" t="str">
        <f t="shared" si="0"/>
        <v>Telltale_Ihbc</v>
      </c>
      <c r="N9" s="4" t="s">
        <v>289</v>
      </c>
      <c r="O9" s="2" t="s">
        <v>488</v>
      </c>
      <c r="P9" s="2" t="s">
        <v>488</v>
      </c>
      <c r="Q9">
        <f>IFERROR(VLOOKUP(B9,AppWarningConfig!E:K,7,FALSE),0)</f>
        <v>0</v>
      </c>
      <c r="R9" s="2">
        <f t="shared" si="1"/>
        <v>256</v>
      </c>
      <c r="S9" s="41" t="str">
        <f t="shared" si="3"/>
        <v>trigger IHBCGreen</v>
      </c>
      <c r="T9" s="41" t="str">
        <f t="shared" si="4"/>
        <v>cancel IHBCGreen</v>
      </c>
      <c r="V9" t="s">
        <v>977</v>
      </c>
      <c r="W9">
        <v>7</v>
      </c>
    </row>
    <row r="10" spans="1:23">
      <c r="A10" s="16">
        <f t="shared" si="2"/>
        <v>9</v>
      </c>
      <c r="B10" s="50" t="s">
        <v>103</v>
      </c>
      <c r="C10" s="2" t="s">
        <v>6</v>
      </c>
      <c r="D10" s="4" t="s">
        <v>27</v>
      </c>
      <c r="E10" s="5" t="s">
        <v>36</v>
      </c>
      <c r="F10" s="17" t="s">
        <v>811</v>
      </c>
      <c r="G10" s="3">
        <v>1000</v>
      </c>
      <c r="H10" s="3">
        <v>90</v>
      </c>
      <c r="I10" s="5" t="s">
        <v>48</v>
      </c>
      <c r="J10" s="4">
        <v>3</v>
      </c>
      <c r="K10" s="2" t="s">
        <v>11</v>
      </c>
      <c r="L10" s="2" t="s">
        <v>4</v>
      </c>
      <c r="M10" s="4" t="str">
        <f t="shared" si="0"/>
        <v>Telltale_Ihbc_2</v>
      </c>
      <c r="N10" s="4" t="s">
        <v>288</v>
      </c>
      <c r="O10" s="2" t="s">
        <v>488</v>
      </c>
      <c r="P10" s="2" t="s">
        <v>488</v>
      </c>
      <c r="Q10">
        <f>IFERROR(VLOOKUP(B10,AppWarningConfig!E:K,7,FALSE),0)</f>
        <v>0</v>
      </c>
      <c r="R10" s="2">
        <f t="shared" si="1"/>
        <v>256</v>
      </c>
      <c r="S10" s="41" t="str">
        <f t="shared" si="3"/>
        <v>trigger IHBCRed</v>
      </c>
      <c r="T10" s="41" t="str">
        <f t="shared" si="4"/>
        <v>cancel IHBCRed</v>
      </c>
      <c r="V10" t="s">
        <v>978</v>
      </c>
      <c r="W10">
        <v>8</v>
      </c>
    </row>
    <row r="11" spans="1:23">
      <c r="A11" s="16">
        <f t="shared" si="2"/>
        <v>10</v>
      </c>
      <c r="B11" s="50" t="s">
        <v>105</v>
      </c>
      <c r="C11" s="2" t="s">
        <v>46</v>
      </c>
      <c r="D11" s="4" t="s">
        <v>27</v>
      </c>
      <c r="E11" s="5" t="s">
        <v>36</v>
      </c>
      <c r="F11" s="17" t="s">
        <v>811</v>
      </c>
      <c r="G11" s="3">
        <v>1000</v>
      </c>
      <c r="H11" s="3">
        <v>90</v>
      </c>
      <c r="I11" s="5" t="s">
        <v>48</v>
      </c>
      <c r="J11" s="4">
        <v>3</v>
      </c>
      <c r="K11" s="2" t="s">
        <v>11</v>
      </c>
      <c r="L11" s="2" t="s">
        <v>4</v>
      </c>
      <c r="M11" s="4" t="str">
        <f t="shared" si="0"/>
        <v>Telltale_High_Beam</v>
      </c>
      <c r="N11" s="4" t="s">
        <v>85</v>
      </c>
      <c r="O11" s="2" t="s">
        <v>488</v>
      </c>
      <c r="P11" s="2" t="s">
        <v>488</v>
      </c>
      <c r="Q11">
        <f>IFERROR(VLOOKUP(B11,AppWarningConfig!E:K,7,FALSE),0)</f>
        <v>0</v>
      </c>
      <c r="R11" s="2">
        <f t="shared" si="1"/>
        <v>256</v>
      </c>
      <c r="S11" s="41" t="str">
        <f t="shared" si="3"/>
        <v>trigger HighBeam</v>
      </c>
      <c r="T11" s="41" t="str">
        <f t="shared" si="4"/>
        <v>cancel HighBeam</v>
      </c>
      <c r="V11" t="s">
        <v>979</v>
      </c>
      <c r="W11">
        <v>9</v>
      </c>
    </row>
    <row r="12" spans="1:23">
      <c r="A12" s="16">
        <f t="shared" si="2"/>
        <v>11</v>
      </c>
      <c r="B12" s="50" t="s">
        <v>26</v>
      </c>
      <c r="C12" s="2" t="s">
        <v>6</v>
      </c>
      <c r="D12" s="4" t="s">
        <v>27</v>
      </c>
      <c r="E12" s="5" t="s">
        <v>33</v>
      </c>
      <c r="F12" s="17" t="s">
        <v>811</v>
      </c>
      <c r="G12" s="3">
        <v>1000</v>
      </c>
      <c r="H12" s="3">
        <v>90</v>
      </c>
      <c r="I12" s="5" t="s">
        <v>48</v>
      </c>
      <c r="J12" s="4">
        <v>3</v>
      </c>
      <c r="K12" s="2" t="s">
        <v>11</v>
      </c>
      <c r="L12" s="2" t="s">
        <v>4</v>
      </c>
      <c r="M12" s="4" t="str">
        <f t="shared" si="0"/>
        <v>Telltale_Cruise_control</v>
      </c>
      <c r="N12" s="4" t="s">
        <v>63</v>
      </c>
      <c r="O12" s="2" t="s">
        <v>488</v>
      </c>
      <c r="P12" s="2" t="s">
        <v>488</v>
      </c>
      <c r="Q12">
        <f>IFERROR(VLOOKUP(B12,AppWarningConfig!E:K,7,FALSE),0)</f>
        <v>0</v>
      </c>
      <c r="R12" s="2">
        <f t="shared" si="1"/>
        <v>256</v>
      </c>
      <c r="S12" s="41" t="str">
        <f t="shared" si="3"/>
        <v>trigger CruiseLamp</v>
      </c>
      <c r="T12" s="41" t="str">
        <f t="shared" si="4"/>
        <v>cancel CruiseLamp</v>
      </c>
      <c r="V12" t="s">
        <v>911</v>
      </c>
      <c r="W12">
        <v>10</v>
      </c>
    </row>
    <row r="13" spans="1:23">
      <c r="A13" s="16">
        <f t="shared" si="2"/>
        <v>12</v>
      </c>
      <c r="B13" s="50" t="s">
        <v>106</v>
      </c>
      <c r="C13" s="2" t="s">
        <v>6</v>
      </c>
      <c r="D13" s="4" t="s">
        <v>27</v>
      </c>
      <c r="E13" s="5" t="s">
        <v>33</v>
      </c>
      <c r="F13" s="17" t="s">
        <v>811</v>
      </c>
      <c r="G13" s="3">
        <v>1000</v>
      </c>
      <c r="H13" s="3">
        <v>90</v>
      </c>
      <c r="I13" s="5" t="s">
        <v>48</v>
      </c>
      <c r="J13" s="4">
        <v>3</v>
      </c>
      <c r="K13" s="2" t="s">
        <v>11</v>
      </c>
      <c r="L13" s="2" t="s">
        <v>4</v>
      </c>
      <c r="M13" s="4" t="str">
        <f t="shared" si="0"/>
        <v>Telltale_Adaptive_cruise_control</v>
      </c>
      <c r="N13" s="4" t="s">
        <v>64</v>
      </c>
      <c r="O13" s="2" t="s">
        <v>488</v>
      </c>
      <c r="P13" s="2" t="s">
        <v>488</v>
      </c>
      <c r="Q13">
        <f>IFERROR(VLOOKUP(B13,AppWarningConfig!E:K,7,FALSE),0)</f>
        <v>0</v>
      </c>
      <c r="R13" s="2">
        <f t="shared" si="1"/>
        <v>256</v>
      </c>
      <c r="S13" s="41" t="str">
        <f t="shared" si="3"/>
        <v>trigger ACCGreen</v>
      </c>
      <c r="T13" s="41" t="str">
        <f t="shared" si="4"/>
        <v>cancel ACCGreen</v>
      </c>
      <c r="V13" t="s">
        <v>921</v>
      </c>
      <c r="W13">
        <v>11</v>
      </c>
    </row>
    <row r="14" spans="1:23">
      <c r="A14" s="16">
        <f t="shared" si="2"/>
        <v>13</v>
      </c>
      <c r="B14" s="50" t="s">
        <v>107</v>
      </c>
      <c r="C14" s="2" t="s">
        <v>6</v>
      </c>
      <c r="D14" s="4" t="s">
        <v>27</v>
      </c>
      <c r="E14" s="5" t="s">
        <v>33</v>
      </c>
      <c r="F14" s="17" t="s">
        <v>811</v>
      </c>
      <c r="G14" s="3">
        <v>1000</v>
      </c>
      <c r="H14" s="3">
        <v>90</v>
      </c>
      <c r="I14" s="5" t="s">
        <v>48</v>
      </c>
      <c r="J14" s="4">
        <v>3</v>
      </c>
      <c r="K14" s="2" t="s">
        <v>11</v>
      </c>
      <c r="L14" s="2" t="s">
        <v>0</v>
      </c>
      <c r="M14" s="4" t="str">
        <f t="shared" si="0"/>
        <v>Telltale_Adaptive_cruise_control_2</v>
      </c>
      <c r="N14" s="4" t="s">
        <v>290</v>
      </c>
      <c r="O14" s="2" t="s">
        <v>488</v>
      </c>
      <c r="P14" s="2" t="s">
        <v>488</v>
      </c>
      <c r="Q14">
        <f>IFERROR(VLOOKUP(B14,AppWarningConfig!E:K,7,FALSE),0)</f>
        <v>0</v>
      </c>
      <c r="R14" s="2">
        <f t="shared" si="1"/>
        <v>256</v>
      </c>
      <c r="S14" s="41" t="str">
        <f t="shared" si="3"/>
        <v>trigger ACCGrey</v>
      </c>
      <c r="T14" s="41" t="str">
        <f t="shared" si="4"/>
        <v>cancel ACCGrey</v>
      </c>
      <c r="V14" t="s">
        <v>912</v>
      </c>
      <c r="W14">
        <v>12</v>
      </c>
    </row>
    <row r="15" spans="1:23">
      <c r="A15" s="16">
        <f t="shared" si="2"/>
        <v>14</v>
      </c>
      <c r="B15" s="50" t="s">
        <v>108</v>
      </c>
      <c r="C15" s="2" t="s">
        <v>6</v>
      </c>
      <c r="D15" s="4" t="s">
        <v>27</v>
      </c>
      <c r="E15" s="5" t="s">
        <v>33</v>
      </c>
      <c r="F15" s="17" t="s">
        <v>811</v>
      </c>
      <c r="G15" s="3">
        <v>1000</v>
      </c>
      <c r="H15" s="3">
        <v>90</v>
      </c>
      <c r="I15" s="5" t="s">
        <v>48</v>
      </c>
      <c r="J15" s="4">
        <v>3</v>
      </c>
      <c r="K15" s="2" t="s">
        <v>11</v>
      </c>
      <c r="L15" s="2" t="s">
        <v>4</v>
      </c>
      <c r="M15" s="4" t="str">
        <f t="shared" si="0"/>
        <v>Telltale_Adaptive_cruise_control_failure</v>
      </c>
      <c r="N15" s="4" t="s">
        <v>65</v>
      </c>
      <c r="O15" s="2" t="s">
        <v>488</v>
      </c>
      <c r="P15" s="2" t="s">
        <v>488</v>
      </c>
      <c r="Q15">
        <f>IFERROR(VLOOKUP(B15,AppWarningConfig!E:K,7,FALSE),0)</f>
        <v>0</v>
      </c>
      <c r="R15" s="2">
        <f t="shared" si="1"/>
        <v>256</v>
      </c>
      <c r="S15" s="41" t="str">
        <f t="shared" si="3"/>
        <v>trigger ACCError</v>
      </c>
      <c r="T15" s="41" t="str">
        <f t="shared" si="4"/>
        <v>cancel ACCError</v>
      </c>
      <c r="V15" t="s">
        <v>980</v>
      </c>
      <c r="W15">
        <v>13</v>
      </c>
    </row>
    <row r="16" spans="1:23">
      <c r="A16" s="16">
        <f t="shared" si="2"/>
        <v>15</v>
      </c>
      <c r="B16" s="50" t="s">
        <v>238</v>
      </c>
      <c r="C16" s="2" t="s">
        <v>6</v>
      </c>
      <c r="D16" s="4" t="s">
        <v>27</v>
      </c>
      <c r="E16" s="5" t="s">
        <v>33</v>
      </c>
      <c r="F16" s="17" t="s">
        <v>811</v>
      </c>
      <c r="G16" s="3">
        <v>1000</v>
      </c>
      <c r="H16" s="3">
        <v>90</v>
      </c>
      <c r="I16" s="5" t="s">
        <v>48</v>
      </c>
      <c r="J16" s="4">
        <v>3</v>
      </c>
      <c r="K16" s="2" t="s">
        <v>11</v>
      </c>
      <c r="L16" s="2" t="s">
        <v>4</v>
      </c>
      <c r="M16" s="4" t="str">
        <f t="shared" si="0"/>
        <v>Telltale_Intelligent_Cruise_Control_2</v>
      </c>
      <c r="N16" s="4" t="s">
        <v>291</v>
      </c>
      <c r="O16" s="2" t="s">
        <v>488</v>
      </c>
      <c r="P16" s="2" t="s">
        <v>488</v>
      </c>
      <c r="Q16">
        <f>IFERROR(VLOOKUP(B16,AppWarningConfig!E:K,7,FALSE),0)</f>
        <v>0</v>
      </c>
      <c r="R16" s="2">
        <f t="shared" si="1"/>
        <v>256</v>
      </c>
      <c r="S16" s="41" t="str">
        <f t="shared" si="3"/>
        <v>trigger ICCGrey</v>
      </c>
      <c r="T16" s="41" t="str">
        <f t="shared" si="4"/>
        <v>cancel ICCGrey</v>
      </c>
      <c r="V16" t="s">
        <v>893</v>
      </c>
      <c r="W16">
        <v>14</v>
      </c>
    </row>
    <row r="17" spans="1:23">
      <c r="A17" s="16">
        <f t="shared" si="2"/>
        <v>16</v>
      </c>
      <c r="B17" s="50" t="s">
        <v>240</v>
      </c>
      <c r="C17" s="2" t="s">
        <v>6</v>
      </c>
      <c r="D17" s="4" t="s">
        <v>27</v>
      </c>
      <c r="E17" s="5" t="s">
        <v>33</v>
      </c>
      <c r="F17" s="17" t="s">
        <v>811</v>
      </c>
      <c r="G17" s="3">
        <v>1000</v>
      </c>
      <c r="H17" s="3">
        <v>90</v>
      </c>
      <c r="I17" s="5" t="s">
        <v>48</v>
      </c>
      <c r="J17" s="4">
        <v>3</v>
      </c>
      <c r="K17" s="2" t="s">
        <v>11</v>
      </c>
      <c r="L17" s="2" t="s">
        <v>4</v>
      </c>
      <c r="M17" s="4" t="str">
        <f t="shared" si="0"/>
        <v>Telltale_Intelligent_Cruise_Control</v>
      </c>
      <c r="N17" s="4" t="s">
        <v>67</v>
      </c>
      <c r="O17" s="2" t="s">
        <v>488</v>
      </c>
      <c r="P17" s="2" t="s">
        <v>488</v>
      </c>
      <c r="Q17">
        <f>IFERROR(VLOOKUP(B17,AppWarningConfig!E:K,7,FALSE),0)</f>
        <v>0</v>
      </c>
      <c r="R17" s="2">
        <f t="shared" si="1"/>
        <v>256</v>
      </c>
      <c r="S17" s="41" t="str">
        <f t="shared" si="3"/>
        <v>trigger ICCGreen</v>
      </c>
      <c r="T17" s="41" t="str">
        <f t="shared" si="4"/>
        <v>cancel ICCGreen</v>
      </c>
      <c r="V17" t="s">
        <v>867</v>
      </c>
      <c r="W17">
        <v>15</v>
      </c>
    </row>
    <row r="18" spans="1:23">
      <c r="A18" s="16">
        <f t="shared" si="2"/>
        <v>17</v>
      </c>
      <c r="B18" s="50" t="s">
        <v>242</v>
      </c>
      <c r="C18" s="2" t="s">
        <v>6</v>
      </c>
      <c r="D18" s="4" t="s">
        <v>27</v>
      </c>
      <c r="E18" s="5" t="s">
        <v>33</v>
      </c>
      <c r="F18" s="17" t="s">
        <v>811</v>
      </c>
      <c r="G18" s="3">
        <v>1000</v>
      </c>
      <c r="H18" s="3">
        <v>90</v>
      </c>
      <c r="I18" s="5" t="s">
        <v>48</v>
      </c>
      <c r="J18" s="4">
        <v>3</v>
      </c>
      <c r="K18" s="2" t="s">
        <v>11</v>
      </c>
      <c r="L18" s="2" t="s">
        <v>4</v>
      </c>
      <c r="M18" s="4" t="str">
        <f t="shared" ref="M18" si="6">CONCATENATE("Telltale_",N18)</f>
        <v>Telltale_Intelligent_Cruise_Control_3</v>
      </c>
      <c r="N18" s="4" t="s">
        <v>292</v>
      </c>
      <c r="O18" s="2" t="s">
        <v>488</v>
      </c>
      <c r="P18" s="2" t="s">
        <v>488</v>
      </c>
      <c r="Q18">
        <f>IFERROR(VLOOKUP(B18,AppWarningConfig!E:K,7,FALSE),0)</f>
        <v>0</v>
      </c>
      <c r="R18" s="2">
        <f t="shared" si="1"/>
        <v>256</v>
      </c>
      <c r="S18" s="41" t="str">
        <f t="shared" si="3"/>
        <v>trigger ICCYellow</v>
      </c>
      <c r="T18" s="41" t="str">
        <f t="shared" si="4"/>
        <v>cancel ICCYellow</v>
      </c>
      <c r="V18" t="s">
        <v>981</v>
      </c>
      <c r="W18">
        <v>16</v>
      </c>
    </row>
    <row r="19" spans="1:23">
      <c r="A19" s="16">
        <f t="shared" si="2"/>
        <v>18</v>
      </c>
      <c r="B19" s="54" t="s">
        <v>244</v>
      </c>
      <c r="C19" s="2" t="s">
        <v>6</v>
      </c>
      <c r="D19" s="4" t="s">
        <v>27</v>
      </c>
      <c r="E19" s="5" t="s">
        <v>33</v>
      </c>
      <c r="F19" s="17" t="s">
        <v>811</v>
      </c>
      <c r="G19" s="3">
        <v>1000</v>
      </c>
      <c r="H19" s="3">
        <v>90</v>
      </c>
      <c r="I19" s="5" t="s">
        <v>48</v>
      </c>
      <c r="J19" s="4">
        <v>3</v>
      </c>
      <c r="K19" s="2" t="s">
        <v>11</v>
      </c>
      <c r="L19" s="2" t="s">
        <v>4</v>
      </c>
      <c r="M19" s="4" t="str">
        <f t="shared" si="0"/>
        <v>Telltale_Intelligent_Cruise_Control_4</v>
      </c>
      <c r="N19" s="4" t="s">
        <v>303</v>
      </c>
      <c r="O19" s="2" t="s">
        <v>488</v>
      </c>
      <c r="P19" s="2" t="s">
        <v>488</v>
      </c>
      <c r="Q19">
        <f>IFERROR(VLOOKUP(B19,AppWarningConfig!E:K,7,FALSE),0)</f>
        <v>0</v>
      </c>
      <c r="R19" s="2">
        <f t="shared" si="1"/>
        <v>256</v>
      </c>
      <c r="S19" s="41" t="str">
        <f t="shared" si="3"/>
        <v>trigger ICCRed</v>
      </c>
      <c r="T19" s="41" t="str">
        <f t="shared" si="4"/>
        <v>cancel ICCRed</v>
      </c>
      <c r="V19" t="s">
        <v>913</v>
      </c>
      <c r="W19">
        <v>17</v>
      </c>
    </row>
    <row r="20" spans="1:23">
      <c r="A20" s="16">
        <f t="shared" si="2"/>
        <v>19</v>
      </c>
      <c r="B20" s="50" t="s">
        <v>109</v>
      </c>
      <c r="C20" s="2" t="s">
        <v>6</v>
      </c>
      <c r="D20" s="4" t="s">
        <v>27</v>
      </c>
      <c r="E20" s="5" t="s">
        <v>34</v>
      </c>
      <c r="F20" s="17" t="s">
        <v>811</v>
      </c>
      <c r="G20" s="3">
        <v>1000</v>
      </c>
      <c r="H20" s="3">
        <v>90</v>
      </c>
      <c r="I20" s="5" t="s">
        <v>48</v>
      </c>
      <c r="J20" s="4">
        <v>3</v>
      </c>
      <c r="K20" s="2" t="s">
        <v>11</v>
      </c>
      <c r="L20" s="2" t="s">
        <v>4</v>
      </c>
      <c r="M20" s="4" t="str">
        <f t="shared" si="0"/>
        <v>Telltale_Hill_descent_control</v>
      </c>
      <c r="N20" s="4" t="s">
        <v>293</v>
      </c>
      <c r="O20" s="2" t="s">
        <v>488</v>
      </c>
      <c r="P20" s="2" t="s">
        <v>488</v>
      </c>
      <c r="Q20">
        <f>IFERROR(VLOOKUP(B20,AppWarningConfig!E:K,7,FALSE),0)</f>
        <v>0</v>
      </c>
      <c r="R20" s="2">
        <f t="shared" si="1"/>
        <v>256</v>
      </c>
      <c r="S20" s="41" t="str">
        <f t="shared" si="3"/>
        <v>trigger HDCYellow</v>
      </c>
      <c r="T20" s="41" t="str">
        <f t="shared" si="4"/>
        <v>cancel HDCYellow</v>
      </c>
      <c r="V20" t="s">
        <v>858</v>
      </c>
      <c r="W20">
        <v>18</v>
      </c>
    </row>
    <row r="21" spans="1:23">
      <c r="A21" s="16">
        <f t="shared" si="2"/>
        <v>20</v>
      </c>
      <c r="B21" s="50" t="s">
        <v>110</v>
      </c>
      <c r="C21" s="2" t="s">
        <v>6</v>
      </c>
      <c r="D21" s="4" t="s">
        <v>27</v>
      </c>
      <c r="E21" s="5" t="s">
        <v>34</v>
      </c>
      <c r="F21" s="17" t="s">
        <v>811</v>
      </c>
      <c r="G21" s="3">
        <v>1000</v>
      </c>
      <c r="H21" s="3">
        <v>90</v>
      </c>
      <c r="I21" s="5" t="s">
        <v>48</v>
      </c>
      <c r="J21" s="4">
        <v>3</v>
      </c>
      <c r="K21" s="2" t="s">
        <v>11</v>
      </c>
      <c r="L21" s="2" t="s">
        <v>4</v>
      </c>
      <c r="M21" s="4" t="str">
        <f t="shared" ref="M21" si="7">CONCATENATE("Telltale_",N21)</f>
        <v>Telltale_Hill_descent_control_2</v>
      </c>
      <c r="N21" s="4" t="s">
        <v>294</v>
      </c>
      <c r="O21" s="2" t="s">
        <v>488</v>
      </c>
      <c r="P21" s="2" t="s">
        <v>488</v>
      </c>
      <c r="Q21">
        <f>IFERROR(VLOOKUP(B21,AppWarningConfig!E:K,7,FALSE),0)</f>
        <v>0</v>
      </c>
      <c r="R21" s="2">
        <f t="shared" si="1"/>
        <v>256</v>
      </c>
      <c r="S21" s="41" t="str">
        <f t="shared" si="3"/>
        <v>trigger HDCGreen</v>
      </c>
      <c r="T21" s="41" t="str">
        <f t="shared" si="4"/>
        <v>cancel HDCGreen</v>
      </c>
      <c r="V21" t="s">
        <v>982</v>
      </c>
      <c r="W21">
        <v>19</v>
      </c>
    </row>
    <row r="22" spans="1:23">
      <c r="A22" s="16">
        <f>ROW()-1</f>
        <v>21</v>
      </c>
      <c r="B22" s="51" t="s">
        <v>746</v>
      </c>
      <c r="C22" s="2" t="s">
        <v>6</v>
      </c>
      <c r="D22" s="4" t="s">
        <v>27</v>
      </c>
      <c r="E22" s="5" t="s">
        <v>34</v>
      </c>
      <c r="F22" s="17" t="s">
        <v>811</v>
      </c>
      <c r="G22" s="3">
        <v>1000</v>
      </c>
      <c r="H22" s="3">
        <v>90</v>
      </c>
      <c r="I22" s="5" t="s">
        <v>48</v>
      </c>
      <c r="J22" s="4">
        <v>3</v>
      </c>
      <c r="K22" s="2" t="s">
        <v>11</v>
      </c>
      <c r="L22" s="2" t="s">
        <v>4</v>
      </c>
      <c r="M22" s="4" t="str">
        <f t="shared" si="0"/>
        <v>Telltale_Hill_descent_control_2</v>
      </c>
      <c r="N22" s="4" t="s">
        <v>294</v>
      </c>
      <c r="O22" s="2" t="s">
        <v>488</v>
      </c>
      <c r="P22" s="2" t="s">
        <v>488</v>
      </c>
      <c r="Q22">
        <f>IFERROR(VLOOKUP(B22,AppWarningConfig!E:K,7,FALSE),0)</f>
        <v>0</v>
      </c>
      <c r="R22" s="2">
        <f t="shared" si="1"/>
        <v>256</v>
      </c>
      <c r="S22" s="41" t="str">
        <f t="shared" si="3"/>
        <v>trigger HDCGreenBlink</v>
      </c>
      <c r="T22" s="41" t="str">
        <f t="shared" si="4"/>
        <v>cancel HDCGreenBlink</v>
      </c>
      <c r="V22" t="s">
        <v>983</v>
      </c>
      <c r="W22">
        <v>20</v>
      </c>
    </row>
    <row r="23" spans="1:23">
      <c r="A23" s="16">
        <f t="shared" si="2"/>
        <v>22</v>
      </c>
      <c r="B23" s="50" t="s">
        <v>216</v>
      </c>
      <c r="C23" s="2" t="s">
        <v>6</v>
      </c>
      <c r="D23" s="4" t="s">
        <v>27</v>
      </c>
      <c r="E23" s="5" t="s">
        <v>34</v>
      </c>
      <c r="F23" s="17" t="s">
        <v>811</v>
      </c>
      <c r="G23" s="3">
        <v>1000</v>
      </c>
      <c r="H23" s="3">
        <v>90</v>
      </c>
      <c r="I23" s="5" t="s">
        <v>48</v>
      </c>
      <c r="J23" s="4">
        <v>3</v>
      </c>
      <c r="K23" s="2" t="s">
        <v>11</v>
      </c>
      <c r="L23" s="2" t="s">
        <v>4</v>
      </c>
      <c r="M23" s="4" t="str">
        <f t="shared" si="0"/>
        <v>Telltale_start_stop_2</v>
      </c>
      <c r="N23" s="4" t="s">
        <v>295</v>
      </c>
      <c r="O23" s="2" t="s">
        <v>488</v>
      </c>
      <c r="P23" s="2" t="s">
        <v>488</v>
      </c>
      <c r="Q23">
        <f>IFERROR(VLOOKUP(B23,AppWarningConfig!E:K,7,FALSE),0)</f>
        <v>0</v>
      </c>
      <c r="R23" s="2">
        <f t="shared" si="1"/>
        <v>256</v>
      </c>
      <c r="S23" s="41" t="str">
        <f t="shared" si="3"/>
        <v>trigger StartStopYellow</v>
      </c>
      <c r="T23" s="41" t="str">
        <f t="shared" si="4"/>
        <v>cancel StartStopYellow</v>
      </c>
    </row>
    <row r="24" spans="1:23">
      <c r="A24" s="16">
        <f t="shared" si="2"/>
        <v>23</v>
      </c>
      <c r="B24" s="50" t="s">
        <v>219</v>
      </c>
      <c r="C24" s="2" t="s">
        <v>6</v>
      </c>
      <c r="D24" s="4" t="s">
        <v>27</v>
      </c>
      <c r="E24" s="5" t="s">
        <v>34</v>
      </c>
      <c r="F24" s="17" t="s">
        <v>811</v>
      </c>
      <c r="G24" s="3">
        <v>1000</v>
      </c>
      <c r="H24" s="3">
        <v>90</v>
      </c>
      <c r="I24" s="5" t="s">
        <v>48</v>
      </c>
      <c r="J24" s="4">
        <v>3</v>
      </c>
      <c r="K24" s="2" t="s">
        <v>11</v>
      </c>
      <c r="L24" s="2" t="s">
        <v>4</v>
      </c>
      <c r="M24" s="4" t="str">
        <f t="shared" si="0"/>
        <v>Telltale_start_stop</v>
      </c>
      <c r="N24" s="4" t="s">
        <v>70</v>
      </c>
      <c r="O24" s="2" t="s">
        <v>488</v>
      </c>
      <c r="P24" s="2" t="s">
        <v>488</v>
      </c>
      <c r="Q24">
        <f>IFERROR(VLOOKUP(B24,AppWarningConfig!E:K,7,FALSE),0)</f>
        <v>0</v>
      </c>
      <c r="R24" s="2">
        <f t="shared" si="1"/>
        <v>256</v>
      </c>
      <c r="S24" s="41" t="str">
        <f t="shared" si="3"/>
        <v>trigger StartStopGreen</v>
      </c>
      <c r="T24" s="41" t="str">
        <f t="shared" si="4"/>
        <v>cancel StartStopGreen</v>
      </c>
    </row>
    <row r="25" spans="1:23">
      <c r="A25" s="16">
        <f t="shared" si="2"/>
        <v>24</v>
      </c>
      <c r="B25" s="50" t="s">
        <v>269</v>
      </c>
      <c r="C25" s="2" t="s">
        <v>46</v>
      </c>
      <c r="D25" s="4" t="s">
        <v>27</v>
      </c>
      <c r="E25" s="5" t="s">
        <v>34</v>
      </c>
      <c r="F25" s="17" t="s">
        <v>811</v>
      </c>
      <c r="G25" s="3">
        <v>1000</v>
      </c>
      <c r="H25" s="3">
        <v>90</v>
      </c>
      <c r="I25" s="5" t="s">
        <v>48</v>
      </c>
      <c r="J25" s="4">
        <v>3</v>
      </c>
      <c r="K25" s="2" t="s">
        <v>11</v>
      </c>
      <c r="L25" s="2" t="s">
        <v>4</v>
      </c>
      <c r="M25" s="4" t="str">
        <f t="shared" si="0"/>
        <v>Telltale_BMS_Charge</v>
      </c>
      <c r="N25" s="4" t="s">
        <v>81</v>
      </c>
      <c r="O25" s="2" t="s">
        <v>488</v>
      </c>
      <c r="P25" s="2" t="s">
        <v>488</v>
      </c>
      <c r="Q25">
        <f>IFERROR(VLOOKUP(B25,AppWarningConfig!E:K,7,FALSE),0)</f>
        <v>0</v>
      </c>
      <c r="R25" s="2">
        <f t="shared" si="1"/>
        <v>256</v>
      </c>
      <c r="S25" s="41" t="str">
        <f t="shared" si="3"/>
        <v>trigger ChargeLed</v>
      </c>
      <c r="T25" s="41" t="str">
        <f t="shared" si="4"/>
        <v>cancel ChargeLed</v>
      </c>
    </row>
    <row r="26" spans="1:23">
      <c r="A26" s="16">
        <f t="shared" si="2"/>
        <v>25</v>
      </c>
      <c r="B26" s="52" t="s">
        <v>159</v>
      </c>
      <c r="C26" s="2" t="s">
        <v>6</v>
      </c>
      <c r="D26" s="4" t="s">
        <v>27</v>
      </c>
      <c r="E26" s="5" t="s">
        <v>32</v>
      </c>
      <c r="F26" s="17" t="s">
        <v>811</v>
      </c>
      <c r="G26" s="3">
        <v>1000</v>
      </c>
      <c r="H26" s="3">
        <v>90</v>
      </c>
      <c r="I26" s="5" t="s">
        <v>48</v>
      </c>
      <c r="J26" s="4">
        <v>3</v>
      </c>
      <c r="K26" s="2" t="s">
        <v>11</v>
      </c>
      <c r="L26" s="2" t="s">
        <v>4</v>
      </c>
      <c r="M26" s="4" t="str">
        <f t="shared" si="0"/>
        <v>Telltale_OIL_Pressure</v>
      </c>
      <c r="N26" s="4" t="s">
        <v>62</v>
      </c>
      <c r="O26" s="2" t="s">
        <v>488</v>
      </c>
      <c r="P26" s="2" t="s">
        <v>488</v>
      </c>
      <c r="Q26">
        <f>IFERROR(VLOOKUP(B26,AppWarningConfig!E:K,7,FALSE),0)</f>
        <v>0</v>
      </c>
      <c r="R26" s="2">
        <f t="shared" si="1"/>
        <v>256</v>
      </c>
      <c r="S26" s="41" t="str">
        <f t="shared" si="3"/>
        <v>trigger OilPressureLow</v>
      </c>
      <c r="T26" s="41" t="str">
        <f t="shared" si="4"/>
        <v>cancel OilPressureLow</v>
      </c>
    </row>
    <row r="27" spans="1:23">
      <c r="A27" s="16">
        <f t="shared" si="2"/>
        <v>26</v>
      </c>
      <c r="B27" s="50" t="s">
        <v>263</v>
      </c>
      <c r="C27" s="2" t="s">
        <v>6</v>
      </c>
      <c r="D27" s="4" t="s">
        <v>27</v>
      </c>
      <c r="E27" s="5" t="s">
        <v>32</v>
      </c>
      <c r="F27" s="17" t="s">
        <v>811</v>
      </c>
      <c r="G27" s="3">
        <v>1000</v>
      </c>
      <c r="H27" s="3">
        <v>90</v>
      </c>
      <c r="I27" s="5" t="s">
        <v>48</v>
      </c>
      <c r="J27" s="4">
        <v>3</v>
      </c>
      <c r="K27" s="2" t="s">
        <v>11</v>
      </c>
      <c r="L27" s="2" t="s">
        <v>4</v>
      </c>
      <c r="M27" s="4" t="str">
        <f t="shared" si="0"/>
        <v>Telltale_Battery_Fault</v>
      </c>
      <c r="N27" s="4" t="s">
        <v>75</v>
      </c>
      <c r="O27" s="2" t="s">
        <v>488</v>
      </c>
      <c r="P27" s="2" t="s">
        <v>488</v>
      </c>
      <c r="Q27">
        <f>IFERROR(VLOOKUP(B27,AppWarningConfig!E:K,7,FALSE),0)</f>
        <v>0</v>
      </c>
      <c r="R27" s="2">
        <f t="shared" si="1"/>
        <v>256</v>
      </c>
      <c r="S27" s="41" t="str">
        <f t="shared" si="3"/>
        <v>trigger BatteryFault</v>
      </c>
      <c r="T27" s="41" t="str">
        <f t="shared" si="4"/>
        <v>cancel BatteryFault</v>
      </c>
    </row>
    <row r="28" spans="1:23">
      <c r="A28" s="16">
        <f t="shared" si="2"/>
        <v>27</v>
      </c>
      <c r="B28" s="50" t="s">
        <v>265</v>
      </c>
      <c r="C28" s="2" t="s">
        <v>6</v>
      </c>
      <c r="D28" s="4" t="s">
        <v>27</v>
      </c>
      <c r="E28" s="5" t="s">
        <v>32</v>
      </c>
      <c r="F28" s="17" t="s">
        <v>811</v>
      </c>
      <c r="G28" s="3">
        <v>1000</v>
      </c>
      <c r="H28" s="3">
        <v>90</v>
      </c>
      <c r="I28" s="5" t="s">
        <v>48</v>
      </c>
      <c r="J28" s="4">
        <v>3</v>
      </c>
      <c r="K28" s="2" t="s">
        <v>11</v>
      </c>
      <c r="L28" s="2" t="s">
        <v>4</v>
      </c>
      <c r="M28" s="4" t="str">
        <f t="shared" si="0"/>
        <v>Telltale_Turtle_Lamp</v>
      </c>
      <c r="N28" s="4" t="s">
        <v>76</v>
      </c>
      <c r="O28" s="2" t="s">
        <v>488</v>
      </c>
      <c r="P28" s="2" t="s">
        <v>488</v>
      </c>
      <c r="Q28">
        <f>IFERROR(VLOOKUP(B28,AppWarningConfig!E:K,7,FALSE),0)</f>
        <v>0</v>
      </c>
      <c r="R28" s="2">
        <f t="shared" si="1"/>
        <v>256</v>
      </c>
      <c r="S28" s="41" t="str">
        <f t="shared" si="3"/>
        <v>trigger TurtleLampOn</v>
      </c>
      <c r="T28" s="41" t="str">
        <f t="shared" si="4"/>
        <v>cancel TurtleLampOn</v>
      </c>
    </row>
    <row r="29" spans="1:23">
      <c r="A29" s="16">
        <f t="shared" si="2"/>
        <v>28</v>
      </c>
      <c r="B29" s="52" t="s">
        <v>152</v>
      </c>
      <c r="C29" s="2" t="s">
        <v>6</v>
      </c>
      <c r="D29" s="4" t="s">
        <v>27</v>
      </c>
      <c r="E29" s="5" t="s">
        <v>31</v>
      </c>
      <c r="F29" s="17" t="s">
        <v>811</v>
      </c>
      <c r="G29" s="3">
        <v>1000</v>
      </c>
      <c r="H29" s="3">
        <v>90</v>
      </c>
      <c r="I29" s="5" t="s">
        <v>48</v>
      </c>
      <c r="J29" s="4">
        <v>3</v>
      </c>
      <c r="K29" s="2" t="s">
        <v>11</v>
      </c>
      <c r="L29" s="2" t="s">
        <v>4</v>
      </c>
      <c r="M29" s="4" t="str">
        <f t="shared" ref="M29" si="8">CONCATENATE("Telltale_",N29)</f>
        <v>Telltale_ESC</v>
      </c>
      <c r="N29" s="4" t="s">
        <v>60</v>
      </c>
      <c r="O29" s="2" t="s">
        <v>488</v>
      </c>
      <c r="P29" s="2" t="s">
        <v>488</v>
      </c>
      <c r="Q29">
        <f>IFERROR(VLOOKUP(B29,AppWarningConfig!E:K,7,FALSE),0)</f>
        <v>0</v>
      </c>
      <c r="R29" s="2">
        <f t="shared" si="1"/>
        <v>256</v>
      </c>
      <c r="S29" s="41" t="str">
        <f t="shared" ref="S29" si="9" xml:space="preserve"> CONCATENATE("trigger ",B29)</f>
        <v>trigger ESPWarning</v>
      </c>
      <c r="T29" s="41" t="str">
        <f t="shared" ref="T29" si="10" xml:space="preserve"> CONCATENATE("cancel ",B29)</f>
        <v>cancel ESPWarning</v>
      </c>
    </row>
    <row r="30" spans="1:23">
      <c r="A30" s="16">
        <f t="shared" si="2"/>
        <v>29</v>
      </c>
      <c r="B30" s="51" t="s">
        <v>986</v>
      </c>
      <c r="C30" s="2" t="s">
        <v>6</v>
      </c>
      <c r="D30" s="4" t="s">
        <v>27</v>
      </c>
      <c r="E30" s="5" t="s">
        <v>31</v>
      </c>
      <c r="F30" s="17" t="s">
        <v>811</v>
      </c>
      <c r="G30" s="3">
        <v>1000</v>
      </c>
      <c r="H30" s="3">
        <v>90</v>
      </c>
      <c r="I30" s="5" t="s">
        <v>48</v>
      </c>
      <c r="J30" s="4">
        <v>3</v>
      </c>
      <c r="K30" s="2" t="s">
        <v>11</v>
      </c>
      <c r="L30" s="2" t="s">
        <v>4</v>
      </c>
      <c r="M30" s="4" t="str">
        <f t="shared" si="0"/>
        <v>Telltale_ESC</v>
      </c>
      <c r="N30" s="4" t="s">
        <v>60</v>
      </c>
      <c r="O30" s="2" t="s">
        <v>488</v>
      </c>
      <c r="P30" s="2" t="s">
        <v>488</v>
      </c>
      <c r="Q30">
        <f>IFERROR(VLOOKUP(B30,AppWarningConfig!E:K,7,FALSE),0)</f>
        <v>0</v>
      </c>
      <c r="R30" s="2">
        <f t="shared" si="1"/>
        <v>256</v>
      </c>
      <c r="S30" s="41" t="str">
        <f t="shared" si="3"/>
        <v>trigger ESPWarningBlink</v>
      </c>
      <c r="T30" s="41" t="str">
        <f t="shared" si="4"/>
        <v>cancel ESPWarningBlink</v>
      </c>
    </row>
    <row r="31" spans="1:23">
      <c r="A31" s="16">
        <f>ROW()-1</f>
        <v>30</v>
      </c>
      <c r="B31" s="52" t="s">
        <v>155</v>
      </c>
      <c r="C31" s="2" t="s">
        <v>6</v>
      </c>
      <c r="D31" s="4" t="s">
        <v>27</v>
      </c>
      <c r="E31" s="5" t="s">
        <v>31</v>
      </c>
      <c r="F31" s="17" t="s">
        <v>811</v>
      </c>
      <c r="G31" s="3">
        <v>1000</v>
      </c>
      <c r="H31" s="3">
        <v>90</v>
      </c>
      <c r="I31" s="5" t="s">
        <v>48</v>
      </c>
      <c r="J31" s="4">
        <v>3</v>
      </c>
      <c r="K31" s="2" t="s">
        <v>11</v>
      </c>
      <c r="L31" s="2" t="s">
        <v>4</v>
      </c>
      <c r="M31" s="4" t="str">
        <f t="shared" si="0"/>
        <v>Telltale_ESC_OFF</v>
      </c>
      <c r="N31" s="4" t="s">
        <v>61</v>
      </c>
      <c r="O31" s="2" t="s">
        <v>488</v>
      </c>
      <c r="P31" s="2" t="s">
        <v>488</v>
      </c>
      <c r="Q31">
        <f>IFERROR(VLOOKUP(B31,AppWarningConfig!E:K,7,FALSE),0)</f>
        <v>0</v>
      </c>
      <c r="R31" s="2">
        <f t="shared" si="1"/>
        <v>256</v>
      </c>
      <c r="S31" s="41" t="str">
        <f t="shared" si="3"/>
        <v>trigger ESPOff</v>
      </c>
      <c r="T31" s="41" t="str">
        <f t="shared" si="4"/>
        <v>cancel ESPOff</v>
      </c>
    </row>
    <row r="32" spans="1:23">
      <c r="A32" s="16">
        <f t="shared" si="2"/>
        <v>31</v>
      </c>
      <c r="B32" s="50" t="s">
        <v>246</v>
      </c>
      <c r="C32" s="2" t="s">
        <v>6</v>
      </c>
      <c r="D32" s="4" t="s">
        <v>27</v>
      </c>
      <c r="E32" s="5" t="s">
        <v>29</v>
      </c>
      <c r="F32" s="17" t="s">
        <v>811</v>
      </c>
      <c r="G32" s="3">
        <v>1000</v>
      </c>
      <c r="H32" s="3">
        <v>90</v>
      </c>
      <c r="I32" s="5" t="s">
        <v>48</v>
      </c>
      <c r="J32" s="4">
        <v>3</v>
      </c>
      <c r="K32" s="2" t="s">
        <v>11</v>
      </c>
      <c r="L32" s="2" t="s">
        <v>4</v>
      </c>
      <c r="M32" s="4" t="str">
        <f t="shared" si="0"/>
        <v>Telltale_LKA_2</v>
      </c>
      <c r="N32" s="4" t="s">
        <v>302</v>
      </c>
      <c r="O32" s="2" t="s">
        <v>488</v>
      </c>
      <c r="P32" s="2" t="s">
        <v>488</v>
      </c>
      <c r="Q32">
        <f>IFERROR(VLOOKUP(B32,AppWarningConfig!E:K,7,FALSE),0)</f>
        <v>0</v>
      </c>
      <c r="R32" s="2">
        <f t="shared" si="1"/>
        <v>256</v>
      </c>
      <c r="S32" s="41" t="str">
        <f t="shared" si="3"/>
        <v>trigger LKARed</v>
      </c>
      <c r="T32" s="41" t="str">
        <f t="shared" si="4"/>
        <v>cancel LKARed</v>
      </c>
    </row>
    <row r="33" spans="1:20">
      <c r="A33" s="16">
        <f t="shared" si="2"/>
        <v>32</v>
      </c>
      <c r="B33" s="50" t="s">
        <v>248</v>
      </c>
      <c r="C33" s="2" t="s">
        <v>6</v>
      </c>
      <c r="D33" s="4" t="s">
        <v>27</v>
      </c>
      <c r="E33" s="5" t="s">
        <v>29</v>
      </c>
      <c r="F33" s="17" t="s">
        <v>811</v>
      </c>
      <c r="G33" s="3">
        <v>1000</v>
      </c>
      <c r="H33" s="3">
        <v>90</v>
      </c>
      <c r="I33" s="5" t="s">
        <v>48</v>
      </c>
      <c r="J33" s="4">
        <v>3</v>
      </c>
      <c r="K33" s="2" t="s">
        <v>11</v>
      </c>
      <c r="L33" s="2" t="s">
        <v>4</v>
      </c>
      <c r="M33" s="4" t="str">
        <f t="shared" si="0"/>
        <v>Telltale_LKA</v>
      </c>
      <c r="N33" s="4" t="s">
        <v>296</v>
      </c>
      <c r="O33" s="2" t="s">
        <v>488</v>
      </c>
      <c r="P33" s="2" t="s">
        <v>488</v>
      </c>
      <c r="Q33">
        <f>IFERROR(VLOOKUP(B33,AppWarningConfig!E:K,7,FALSE),0)</f>
        <v>0</v>
      </c>
      <c r="R33" s="2">
        <f t="shared" si="1"/>
        <v>256</v>
      </c>
      <c r="S33" s="41" t="str">
        <f t="shared" si="3"/>
        <v>trigger LKAGreen</v>
      </c>
      <c r="T33" s="41" t="str">
        <f t="shared" si="4"/>
        <v>cancel LKAGreen</v>
      </c>
    </row>
    <row r="34" spans="1:20">
      <c r="A34" s="16">
        <f t="shared" si="2"/>
        <v>33</v>
      </c>
      <c r="B34" s="50" t="s">
        <v>227</v>
      </c>
      <c r="C34" s="2" t="s">
        <v>6</v>
      </c>
      <c r="D34" s="4" t="s">
        <v>27</v>
      </c>
      <c r="E34" s="5" t="s">
        <v>29</v>
      </c>
      <c r="F34" s="17" t="s">
        <v>811</v>
      </c>
      <c r="G34" s="3">
        <v>1000</v>
      </c>
      <c r="H34" s="3">
        <v>90</v>
      </c>
      <c r="I34" s="5" t="s">
        <v>48</v>
      </c>
      <c r="J34" s="4">
        <v>3</v>
      </c>
      <c r="K34" s="2" t="s">
        <v>11</v>
      </c>
      <c r="L34" s="2" t="s">
        <v>4</v>
      </c>
      <c r="M34" s="4" t="str">
        <f t="shared" si="0"/>
        <v>Telltale_AEB_State</v>
      </c>
      <c r="N34" s="4" t="s">
        <v>66</v>
      </c>
      <c r="O34" s="2" t="s">
        <v>488</v>
      </c>
      <c r="P34" s="2" t="s">
        <v>488</v>
      </c>
      <c r="Q34">
        <f>IFERROR(VLOOKUP(B34,AppWarningConfig!E:K,7,FALSE),0)</f>
        <v>0</v>
      </c>
      <c r="R34" s="2">
        <f t="shared" ref="R34:R65" si="11">IFERROR(VLOOKUP(Q34,V:AW,2,FALSE),256)</f>
        <v>256</v>
      </c>
      <c r="S34" s="41" t="str">
        <f t="shared" si="3"/>
        <v>trigger FRSRed</v>
      </c>
      <c r="T34" s="41" t="str">
        <f t="shared" si="4"/>
        <v>cancel FRSRed</v>
      </c>
    </row>
    <row r="35" spans="1:20">
      <c r="A35" s="16">
        <f t="shared" si="2"/>
        <v>34</v>
      </c>
      <c r="B35" s="50" t="s">
        <v>230</v>
      </c>
      <c r="C35" s="2" t="s">
        <v>6</v>
      </c>
      <c r="D35" s="4" t="s">
        <v>27</v>
      </c>
      <c r="E35" s="5" t="s">
        <v>29</v>
      </c>
      <c r="F35" s="17" t="s">
        <v>811</v>
      </c>
      <c r="G35" s="3">
        <v>1000</v>
      </c>
      <c r="H35" s="3">
        <v>90</v>
      </c>
      <c r="I35" s="5" t="s">
        <v>48</v>
      </c>
      <c r="J35" s="4">
        <v>3</v>
      </c>
      <c r="K35" s="2" t="s">
        <v>11</v>
      </c>
      <c r="L35" s="2" t="s">
        <v>4</v>
      </c>
      <c r="M35" s="4" t="str">
        <f t="shared" si="0"/>
        <v>Telltale_AEB_State_2</v>
      </c>
      <c r="N35" s="4" t="s">
        <v>86</v>
      </c>
      <c r="O35" s="2" t="s">
        <v>488</v>
      </c>
      <c r="P35" s="2" t="s">
        <v>488</v>
      </c>
      <c r="Q35">
        <f>IFERROR(VLOOKUP(B35,AppWarningConfig!E:K,7,FALSE),0)</f>
        <v>0</v>
      </c>
      <c r="R35" s="2">
        <f t="shared" si="11"/>
        <v>256</v>
      </c>
      <c r="S35" s="41" t="str">
        <f t="shared" si="3"/>
        <v>trigger FRSYellow</v>
      </c>
      <c r="T35" s="41" t="str">
        <f t="shared" si="4"/>
        <v>cancel FRSYellow</v>
      </c>
    </row>
    <row r="36" spans="1:20">
      <c r="A36" s="16">
        <f t="shared" si="2"/>
        <v>35</v>
      </c>
      <c r="B36" s="50" t="s">
        <v>257</v>
      </c>
      <c r="C36" s="2" t="s">
        <v>6</v>
      </c>
      <c r="D36" s="4" t="s">
        <v>27</v>
      </c>
      <c r="E36" s="5" t="s">
        <v>39</v>
      </c>
      <c r="F36" s="17" t="s">
        <v>811</v>
      </c>
      <c r="G36" s="3">
        <v>1000</v>
      </c>
      <c r="H36" s="3">
        <v>90</v>
      </c>
      <c r="I36" s="5" t="s">
        <v>48</v>
      </c>
      <c r="J36" s="4">
        <v>3</v>
      </c>
      <c r="K36" s="2" t="s">
        <v>11</v>
      </c>
      <c r="L36" s="2" t="s">
        <v>4</v>
      </c>
      <c r="M36" s="4" t="str">
        <f t="shared" si="0"/>
        <v>Telltale_READY</v>
      </c>
      <c r="N36" s="4" t="s">
        <v>77</v>
      </c>
      <c r="O36" s="2" t="s">
        <v>488</v>
      </c>
      <c r="P36" s="2" t="s">
        <v>488</v>
      </c>
      <c r="Q36">
        <f>IFERROR(VLOOKUP(B36,AppWarningConfig!E:K,7,FALSE),0)</f>
        <v>0</v>
      </c>
      <c r="R36" s="2">
        <f t="shared" si="11"/>
        <v>256</v>
      </c>
      <c r="S36" s="41" t="str">
        <f t="shared" si="3"/>
        <v>trigger PHEVReady</v>
      </c>
      <c r="T36" s="41" t="str">
        <f t="shared" si="4"/>
        <v>cancel PHEVReady</v>
      </c>
    </row>
    <row r="37" spans="1:20">
      <c r="A37" s="16">
        <f t="shared" si="2"/>
        <v>36</v>
      </c>
      <c r="B37" s="50" t="s">
        <v>161</v>
      </c>
      <c r="C37" s="2" t="s">
        <v>6</v>
      </c>
      <c r="D37" s="4" t="s">
        <v>27</v>
      </c>
      <c r="E37" s="5" t="s">
        <v>30</v>
      </c>
      <c r="F37" s="17" t="s">
        <v>811</v>
      </c>
      <c r="G37" s="3">
        <v>1000</v>
      </c>
      <c r="H37" s="3">
        <v>90</v>
      </c>
      <c r="I37" s="5" t="s">
        <v>48</v>
      </c>
      <c r="J37" s="4">
        <v>3</v>
      </c>
      <c r="K37" s="2" t="s">
        <v>11</v>
      </c>
      <c r="L37" s="2" t="s">
        <v>4</v>
      </c>
      <c r="M37" s="4" t="str">
        <f t="shared" si="0"/>
        <v>Telltale_TCU_2</v>
      </c>
      <c r="N37" s="4" t="s">
        <v>297</v>
      </c>
      <c r="O37" s="2" t="s">
        <v>488</v>
      </c>
      <c r="P37" s="2" t="s">
        <v>488</v>
      </c>
      <c r="Q37">
        <f>IFERROR(VLOOKUP(B37,AppWarningConfig!E:K,7,FALSE),0)</f>
        <v>0</v>
      </c>
      <c r="R37" s="2">
        <f t="shared" si="11"/>
        <v>256</v>
      </c>
      <c r="S37" s="41" t="str">
        <f t="shared" si="3"/>
        <v>trigger TransmissionRed</v>
      </c>
      <c r="T37" s="41" t="str">
        <f t="shared" si="4"/>
        <v>cancel TransmissionRed</v>
      </c>
    </row>
    <row r="38" spans="1:20">
      <c r="A38" s="16">
        <f t="shared" si="2"/>
        <v>37</v>
      </c>
      <c r="B38" s="50" t="s">
        <v>163</v>
      </c>
      <c r="C38" s="2" t="s">
        <v>6</v>
      </c>
      <c r="D38" s="4" t="s">
        <v>27</v>
      </c>
      <c r="E38" s="5" t="s">
        <v>30</v>
      </c>
      <c r="F38" s="17" t="s">
        <v>811</v>
      </c>
      <c r="G38" s="3">
        <v>1000</v>
      </c>
      <c r="H38" s="3">
        <v>90</v>
      </c>
      <c r="I38" s="5" t="s">
        <v>48</v>
      </c>
      <c r="J38" s="4">
        <v>3</v>
      </c>
      <c r="K38" s="2" t="s">
        <v>11</v>
      </c>
      <c r="L38" s="2" t="s">
        <v>4</v>
      </c>
      <c r="M38" s="4" t="str">
        <f t="shared" ref="M38:M56" si="12">CONCATENATE("Telltale_",N38)</f>
        <v>Telltale_TCU</v>
      </c>
      <c r="N38" s="4" t="s">
        <v>68</v>
      </c>
      <c r="O38" s="2" t="s">
        <v>488</v>
      </c>
      <c r="P38" s="2" t="s">
        <v>488</v>
      </c>
      <c r="Q38">
        <f>IFERROR(VLOOKUP(B38,AppWarningConfig!E:K,7,FALSE),0)</f>
        <v>0</v>
      </c>
      <c r="R38" s="2">
        <f t="shared" si="11"/>
        <v>256</v>
      </c>
      <c r="S38" s="41" t="str">
        <f t="shared" si="3"/>
        <v>trigger TransmissionYellow</v>
      </c>
      <c r="T38" s="41" t="str">
        <f t="shared" si="4"/>
        <v>cancel TransmissionYellow</v>
      </c>
    </row>
    <row r="39" spans="1:20">
      <c r="A39" s="16">
        <f t="shared" si="2"/>
        <v>38</v>
      </c>
      <c r="B39" s="50" t="s">
        <v>271</v>
      </c>
      <c r="C39" s="2" t="s">
        <v>6</v>
      </c>
      <c r="D39" s="4" t="s">
        <v>27</v>
      </c>
      <c r="E39" s="5" t="s">
        <v>30</v>
      </c>
      <c r="F39" s="17" t="s">
        <v>811</v>
      </c>
      <c r="G39" s="3">
        <v>1000</v>
      </c>
      <c r="H39" s="3">
        <v>90</v>
      </c>
      <c r="I39" s="5" t="s">
        <v>48</v>
      </c>
      <c r="J39" s="4">
        <v>3</v>
      </c>
      <c r="K39" s="2" t="s">
        <v>11</v>
      </c>
      <c r="L39" s="2" t="s">
        <v>4</v>
      </c>
      <c r="M39" s="4" t="str">
        <f t="shared" si="12"/>
        <v>Telltale_AVAS</v>
      </c>
      <c r="N39" s="4" t="s">
        <v>87</v>
      </c>
      <c r="O39" s="2" t="s">
        <v>488</v>
      </c>
      <c r="P39" s="2" t="s">
        <v>488</v>
      </c>
      <c r="Q39">
        <f>IFERROR(VLOOKUP(B39,AppWarningConfig!E:K,7,FALSE),0)</f>
        <v>0</v>
      </c>
      <c r="R39" s="2">
        <f t="shared" si="11"/>
        <v>256</v>
      </c>
      <c r="S39" s="41" t="str">
        <f t="shared" si="3"/>
        <v>trigger AVASState</v>
      </c>
      <c r="T39" s="41" t="str">
        <f t="shared" si="4"/>
        <v>cancel AVASState</v>
      </c>
    </row>
    <row r="40" spans="1:20">
      <c r="A40" s="16">
        <f t="shared" si="2"/>
        <v>39</v>
      </c>
      <c r="B40" s="50" t="s">
        <v>253</v>
      </c>
      <c r="C40" s="2" t="s">
        <v>6</v>
      </c>
      <c r="D40" s="4" t="s">
        <v>27</v>
      </c>
      <c r="E40" s="5" t="s">
        <v>30</v>
      </c>
      <c r="F40" s="17" t="s">
        <v>811</v>
      </c>
      <c r="G40" s="3">
        <v>1000</v>
      </c>
      <c r="H40" s="3">
        <v>90</v>
      </c>
      <c r="I40" s="5" t="s">
        <v>48</v>
      </c>
      <c r="J40" s="4">
        <v>3</v>
      </c>
      <c r="K40" s="2" t="s">
        <v>11</v>
      </c>
      <c r="L40" s="2" t="s">
        <v>4</v>
      </c>
      <c r="M40" s="4" t="str">
        <f t="shared" si="12"/>
        <v>Telltale_EV</v>
      </c>
      <c r="N40" s="4" t="s">
        <v>78</v>
      </c>
      <c r="O40" s="2" t="s">
        <v>488</v>
      </c>
      <c r="P40" s="2" t="s">
        <v>488</v>
      </c>
      <c r="Q40">
        <f>IFERROR(VLOOKUP(B40,AppWarningConfig!E:K,7,FALSE),0)</f>
        <v>0</v>
      </c>
      <c r="R40" s="2">
        <f t="shared" si="11"/>
        <v>256</v>
      </c>
      <c r="S40" s="41" t="str">
        <f t="shared" si="3"/>
        <v>trigger PHEVModeEV</v>
      </c>
      <c r="T40" s="41" t="str">
        <f t="shared" si="4"/>
        <v>cancel PHEVModeEV</v>
      </c>
    </row>
    <row r="41" spans="1:20">
      <c r="A41" s="16">
        <f t="shared" si="2"/>
        <v>40</v>
      </c>
      <c r="B41" s="50" t="s">
        <v>254</v>
      </c>
      <c r="C41" s="2" t="s">
        <v>6</v>
      </c>
      <c r="D41" s="4" t="s">
        <v>27</v>
      </c>
      <c r="E41" s="5" t="s">
        <v>30</v>
      </c>
      <c r="F41" s="17" t="s">
        <v>811</v>
      </c>
      <c r="G41" s="3">
        <v>1000</v>
      </c>
      <c r="H41" s="3">
        <v>90</v>
      </c>
      <c r="I41" s="5" t="s">
        <v>48</v>
      </c>
      <c r="J41" s="4">
        <v>3</v>
      </c>
      <c r="K41" s="2" t="s">
        <v>11</v>
      </c>
      <c r="L41" s="2" t="s">
        <v>4</v>
      </c>
      <c r="M41" s="4" t="str">
        <f t="shared" si="12"/>
        <v>Telltale_HEV</v>
      </c>
      <c r="N41" s="4" t="s">
        <v>79</v>
      </c>
      <c r="O41" s="2" t="s">
        <v>488</v>
      </c>
      <c r="P41" s="2" t="s">
        <v>488</v>
      </c>
      <c r="Q41">
        <f>IFERROR(VLOOKUP(B41,AppWarningConfig!E:K,7,FALSE),0)</f>
        <v>0</v>
      </c>
      <c r="R41" s="2">
        <f t="shared" si="11"/>
        <v>256</v>
      </c>
      <c r="S41" s="41" t="str">
        <f t="shared" si="3"/>
        <v>trigger PHEVModeHEV</v>
      </c>
      <c r="T41" s="41" t="str">
        <f t="shared" si="4"/>
        <v>cancel PHEVModeHEV</v>
      </c>
    </row>
    <row r="42" spans="1:20">
      <c r="A42" s="16">
        <f t="shared" si="2"/>
        <v>41</v>
      </c>
      <c r="B42" s="50" t="s">
        <v>255</v>
      </c>
      <c r="C42" s="2" t="s">
        <v>6</v>
      </c>
      <c r="D42" s="4" t="s">
        <v>27</v>
      </c>
      <c r="E42" s="5" t="s">
        <v>30</v>
      </c>
      <c r="F42" s="17" t="s">
        <v>811</v>
      </c>
      <c r="G42" s="3">
        <v>1000</v>
      </c>
      <c r="H42" s="3">
        <v>90</v>
      </c>
      <c r="I42" s="5" t="s">
        <v>48</v>
      </c>
      <c r="J42" s="4">
        <v>3</v>
      </c>
      <c r="K42" s="2" t="s">
        <v>11</v>
      </c>
      <c r="L42" s="2" t="s">
        <v>4</v>
      </c>
      <c r="M42" s="4" t="str">
        <f t="shared" si="12"/>
        <v>Telltale_SAVE</v>
      </c>
      <c r="N42" s="4" t="s">
        <v>80</v>
      </c>
      <c r="O42" s="2" t="s">
        <v>488</v>
      </c>
      <c r="P42" s="2" t="s">
        <v>488</v>
      </c>
      <c r="Q42">
        <f>IFERROR(VLOOKUP(B42,AppWarningConfig!E:K,7,FALSE),0)</f>
        <v>0</v>
      </c>
      <c r="R42" s="2">
        <f t="shared" si="11"/>
        <v>256</v>
      </c>
      <c r="S42" s="41" t="str">
        <f t="shared" si="3"/>
        <v>trigger PHEVModeSAVE</v>
      </c>
      <c r="T42" s="41" t="str">
        <f t="shared" si="4"/>
        <v>cancel PHEVModeSAVE</v>
      </c>
    </row>
    <row r="43" spans="1:20">
      <c r="A43" s="16">
        <f t="shared" si="2"/>
        <v>42</v>
      </c>
      <c r="B43" s="50" t="s">
        <v>191</v>
      </c>
      <c r="C43" s="2" t="s">
        <v>6</v>
      </c>
      <c r="D43" s="4" t="s">
        <v>27</v>
      </c>
      <c r="E43" s="5" t="s">
        <v>35</v>
      </c>
      <c r="F43" s="17" t="s">
        <v>811</v>
      </c>
      <c r="G43" s="3">
        <v>1000</v>
      </c>
      <c r="H43" s="3">
        <v>90</v>
      </c>
      <c r="I43" s="5" t="s">
        <v>48</v>
      </c>
      <c r="J43" s="4">
        <v>3</v>
      </c>
      <c r="K43" s="2" t="s">
        <v>11</v>
      </c>
      <c r="L43" s="2" t="s">
        <v>4</v>
      </c>
      <c r="M43" s="4" t="str">
        <f t="shared" si="12"/>
        <v>Telltale_EPS</v>
      </c>
      <c r="N43" s="4" t="s">
        <v>69</v>
      </c>
      <c r="O43" s="2" t="s">
        <v>488</v>
      </c>
      <c r="P43" s="2" t="s">
        <v>488</v>
      </c>
      <c r="Q43">
        <f>IFERROR(VLOOKUP(B43,AppWarningConfig!E:K,7,FALSE),0)</f>
        <v>0</v>
      </c>
      <c r="R43" s="2">
        <f t="shared" si="11"/>
        <v>256</v>
      </c>
      <c r="S43" s="41" t="str">
        <f t="shared" si="3"/>
        <v>trigger EPSFailure</v>
      </c>
      <c r="T43" s="41" t="str">
        <f t="shared" si="4"/>
        <v>cancel EPSFailure</v>
      </c>
    </row>
    <row r="44" spans="1:20">
      <c r="A44" s="16">
        <f t="shared" si="2"/>
        <v>43</v>
      </c>
      <c r="B44" s="50" t="s">
        <v>250</v>
      </c>
      <c r="C44" s="2" t="s">
        <v>6</v>
      </c>
      <c r="D44" s="4" t="s">
        <v>27</v>
      </c>
      <c r="E44" s="5" t="s">
        <v>37</v>
      </c>
      <c r="F44" s="17" t="s">
        <v>811</v>
      </c>
      <c r="G44" s="3">
        <v>1000</v>
      </c>
      <c r="H44" s="3">
        <v>90</v>
      </c>
      <c r="I44" s="5" t="s">
        <v>48</v>
      </c>
      <c r="J44" s="4">
        <v>3</v>
      </c>
      <c r="K44" s="2" t="s">
        <v>11</v>
      </c>
      <c r="L44" s="2" t="s">
        <v>0</v>
      </c>
      <c r="M44" s="4" t="str">
        <f t="shared" si="12"/>
        <v>Telltale_ECO</v>
      </c>
      <c r="N44" s="4" t="s">
        <v>71</v>
      </c>
      <c r="O44" s="2" t="s">
        <v>488</v>
      </c>
      <c r="P44" s="2" t="s">
        <v>488</v>
      </c>
      <c r="Q44">
        <f>IFERROR(VLOOKUP(B44,AppWarningConfig!E:K,7,FALSE),0)</f>
        <v>0</v>
      </c>
      <c r="R44" s="2">
        <f t="shared" si="11"/>
        <v>256</v>
      </c>
      <c r="S44" s="41" t="str">
        <f t="shared" si="3"/>
        <v>trigger ECOTip</v>
      </c>
      <c r="T44" s="41" t="str">
        <f t="shared" si="4"/>
        <v>cancel ECOTip</v>
      </c>
    </row>
    <row r="45" spans="1:20">
      <c r="A45" s="16">
        <f t="shared" si="2"/>
        <v>44</v>
      </c>
      <c r="B45" s="50" t="s">
        <v>252</v>
      </c>
      <c r="C45" s="2" t="s">
        <v>6</v>
      </c>
      <c r="D45" s="4" t="s">
        <v>27</v>
      </c>
      <c r="E45" s="5" t="s">
        <v>37</v>
      </c>
      <c r="F45" s="17" t="s">
        <v>811</v>
      </c>
      <c r="G45" s="3">
        <v>1000</v>
      </c>
      <c r="H45" s="3">
        <v>90</v>
      </c>
      <c r="I45" s="5" t="s">
        <v>48</v>
      </c>
      <c r="J45" s="4">
        <v>3</v>
      </c>
      <c r="K45" s="2" t="s">
        <v>11</v>
      </c>
      <c r="L45" s="2" t="s">
        <v>0</v>
      </c>
      <c r="M45" s="4" t="str">
        <f t="shared" si="12"/>
        <v>Telltale_Sport</v>
      </c>
      <c r="N45" s="4" t="s">
        <v>72</v>
      </c>
      <c r="O45" s="2" t="s">
        <v>488</v>
      </c>
      <c r="P45" s="2" t="s">
        <v>488</v>
      </c>
      <c r="Q45">
        <f>IFERROR(VLOOKUP(B45,AppWarningConfig!E:K,7,FALSE),0)</f>
        <v>0</v>
      </c>
      <c r="R45" s="2">
        <f t="shared" si="11"/>
        <v>256</v>
      </c>
      <c r="S45" s="41" t="str">
        <f t="shared" si="3"/>
        <v>trigger SportTip</v>
      </c>
      <c r="T45" s="41" t="str">
        <f t="shared" si="4"/>
        <v>cancel SportTip</v>
      </c>
    </row>
    <row r="46" spans="1:20">
      <c r="A46" s="16">
        <f t="shared" si="2"/>
        <v>45</v>
      </c>
      <c r="B46" s="50" t="s">
        <v>182</v>
      </c>
      <c r="C46" s="2" t="s">
        <v>6</v>
      </c>
      <c r="D46" s="4" t="s">
        <v>27</v>
      </c>
      <c r="E46" s="5" t="s">
        <v>38</v>
      </c>
      <c r="F46" s="17" t="s">
        <v>811</v>
      </c>
      <c r="G46" s="3">
        <v>1000</v>
      </c>
      <c r="H46" s="3">
        <v>90</v>
      </c>
      <c r="I46" s="5" t="s">
        <v>48</v>
      </c>
      <c r="J46" s="4">
        <v>3</v>
      </c>
      <c r="K46" s="2" t="s">
        <v>11</v>
      </c>
      <c r="L46" s="2" t="s">
        <v>4</v>
      </c>
      <c r="M46" s="4" t="str">
        <f t="shared" si="12"/>
        <v>Telltale_EPB_Eeeor</v>
      </c>
      <c r="N46" s="4" t="s">
        <v>58</v>
      </c>
      <c r="O46" s="2" t="s">
        <v>488</v>
      </c>
      <c r="P46" s="2" t="s">
        <v>488</v>
      </c>
      <c r="Q46">
        <f>IFERROR(VLOOKUP(B46,AppWarningConfig!E:K,7,FALSE),0)</f>
        <v>0</v>
      </c>
      <c r="R46" s="2">
        <f t="shared" si="11"/>
        <v>256</v>
      </c>
      <c r="S46" s="41" t="str">
        <f t="shared" si="3"/>
        <v>trigger EPBError</v>
      </c>
      <c r="T46" s="41" t="str">
        <f t="shared" si="4"/>
        <v>cancel EPBError</v>
      </c>
    </row>
    <row r="47" spans="1:20">
      <c r="A47" s="16">
        <f t="shared" si="2"/>
        <v>46</v>
      </c>
      <c r="B47" s="50" t="s">
        <v>259</v>
      </c>
      <c r="C47" s="2" t="s">
        <v>6</v>
      </c>
      <c r="D47" s="4" t="s">
        <v>27</v>
      </c>
      <c r="E47" s="5" t="s">
        <v>38</v>
      </c>
      <c r="F47" s="17" t="s">
        <v>811</v>
      </c>
      <c r="G47" s="3">
        <v>1000</v>
      </c>
      <c r="H47" s="3">
        <v>90</v>
      </c>
      <c r="I47" s="5" t="s">
        <v>48</v>
      </c>
      <c r="J47" s="4">
        <v>3</v>
      </c>
      <c r="K47" s="2" t="s">
        <v>11</v>
      </c>
      <c r="L47" s="2" t="s">
        <v>4</v>
      </c>
      <c r="M47" s="4" t="str">
        <f t="shared" si="12"/>
        <v>Telltale_EPT_fault</v>
      </c>
      <c r="N47" s="4" t="s">
        <v>73</v>
      </c>
      <c r="O47" s="2" t="s">
        <v>488</v>
      </c>
      <c r="P47" s="2" t="s">
        <v>488</v>
      </c>
      <c r="Q47">
        <f>IFERROR(VLOOKUP(B47,AppWarningConfig!E:K,7,FALSE),0)</f>
        <v>0</v>
      </c>
      <c r="R47" s="2">
        <f t="shared" si="11"/>
        <v>256</v>
      </c>
      <c r="S47" s="41" t="str">
        <f t="shared" si="3"/>
        <v>trigger PHEVError</v>
      </c>
      <c r="T47" s="41" t="str">
        <f t="shared" si="4"/>
        <v>cancel PHEVError</v>
      </c>
    </row>
    <row r="48" spans="1:20">
      <c r="A48" s="16">
        <f t="shared" si="2"/>
        <v>47</v>
      </c>
      <c r="B48" s="50" t="s">
        <v>261</v>
      </c>
      <c r="C48" s="2" t="s">
        <v>6</v>
      </c>
      <c r="D48" s="4" t="s">
        <v>27</v>
      </c>
      <c r="E48" s="5" t="s">
        <v>38</v>
      </c>
      <c r="F48" s="17" t="s">
        <v>811</v>
      </c>
      <c r="G48" s="3">
        <v>1000</v>
      </c>
      <c r="H48" s="3">
        <v>90</v>
      </c>
      <c r="I48" s="5" t="s">
        <v>48</v>
      </c>
      <c r="J48" s="4">
        <v>3</v>
      </c>
      <c r="K48" s="2" t="s">
        <v>11</v>
      </c>
      <c r="L48" s="2" t="s">
        <v>4</v>
      </c>
      <c r="M48" s="4" t="str">
        <f t="shared" si="12"/>
        <v>Telltale_LSG_Over_Temp</v>
      </c>
      <c r="N48" s="4" t="s">
        <v>74</v>
      </c>
      <c r="O48" s="2" t="s">
        <v>488</v>
      </c>
      <c r="P48" s="2" t="s">
        <v>488</v>
      </c>
      <c r="Q48">
        <f>IFERROR(VLOOKUP(B48,AppWarningConfig!E:K,7,FALSE),0)</f>
        <v>0</v>
      </c>
      <c r="R48" s="2">
        <f t="shared" si="11"/>
        <v>256</v>
      </c>
      <c r="S48" s="41" t="str">
        <f t="shared" si="3"/>
        <v>trigger IsgOverTemp</v>
      </c>
      <c r="T48" s="41" t="str">
        <f t="shared" si="4"/>
        <v>cancel IsgOverTemp</v>
      </c>
    </row>
    <row r="49" spans="1:20">
      <c r="A49" s="16">
        <f t="shared" si="2"/>
        <v>48</v>
      </c>
      <c r="B49" s="50" t="s">
        <v>232</v>
      </c>
      <c r="C49" s="2" t="s">
        <v>6</v>
      </c>
      <c r="D49" s="4" t="s">
        <v>27</v>
      </c>
      <c r="E49" s="5" t="s">
        <v>38</v>
      </c>
      <c r="F49" s="17" t="s">
        <v>811</v>
      </c>
      <c r="G49" s="3">
        <v>1000</v>
      </c>
      <c r="H49" s="3">
        <v>90</v>
      </c>
      <c r="I49" s="5" t="s">
        <v>48</v>
      </c>
      <c r="J49" s="4">
        <v>3</v>
      </c>
      <c r="K49" s="2" t="s">
        <v>11</v>
      </c>
      <c r="L49" s="2" t="s">
        <v>4</v>
      </c>
      <c r="M49" s="4" t="str">
        <f t="shared" si="12"/>
        <v>Telltale_Blind_spot_switch_2</v>
      </c>
      <c r="N49" s="4" t="s">
        <v>298</v>
      </c>
      <c r="O49" s="2" t="s">
        <v>488</v>
      </c>
      <c r="P49" s="2" t="s">
        <v>488</v>
      </c>
      <c r="Q49">
        <f>IFERROR(VLOOKUP(B49,AppWarningConfig!E:K,7,FALSE),0)</f>
        <v>0</v>
      </c>
      <c r="R49" s="2">
        <f t="shared" si="11"/>
        <v>256</v>
      </c>
      <c r="S49" s="41" t="str">
        <f t="shared" si="3"/>
        <v>trigger BSDYellow</v>
      </c>
      <c r="T49" s="41" t="str">
        <f t="shared" si="4"/>
        <v>cancel BSDYellow</v>
      </c>
    </row>
    <row r="50" spans="1:20">
      <c r="A50" s="16">
        <f t="shared" si="2"/>
        <v>49</v>
      </c>
      <c r="B50" s="50" t="s">
        <v>234</v>
      </c>
      <c r="C50" s="2" t="s">
        <v>6</v>
      </c>
      <c r="D50" s="4" t="s">
        <v>27</v>
      </c>
      <c r="E50" s="5" t="s">
        <v>38</v>
      </c>
      <c r="F50" s="17" t="s">
        <v>811</v>
      </c>
      <c r="G50" s="3">
        <v>1000</v>
      </c>
      <c r="H50" s="3">
        <v>90</v>
      </c>
      <c r="I50" s="5" t="s">
        <v>48</v>
      </c>
      <c r="J50" s="4">
        <v>3</v>
      </c>
      <c r="K50" s="2" t="s">
        <v>11</v>
      </c>
      <c r="L50" s="2" t="s">
        <v>4</v>
      </c>
      <c r="M50" s="4" t="str">
        <f t="shared" si="12"/>
        <v>Telltale_Blind_spot_switch</v>
      </c>
      <c r="N50" s="4" t="s">
        <v>82</v>
      </c>
      <c r="O50" s="2" t="s">
        <v>488</v>
      </c>
      <c r="P50" s="2" t="s">
        <v>488</v>
      </c>
      <c r="Q50">
        <f>IFERROR(VLOOKUP(B50,AppWarningConfig!E:K,7,FALSE),0)</f>
        <v>0</v>
      </c>
      <c r="R50" s="2">
        <f t="shared" si="11"/>
        <v>256</v>
      </c>
      <c r="S50" s="41" t="str">
        <f t="shared" si="3"/>
        <v>trigger BSDGreen</v>
      </c>
      <c r="T50" s="41" t="str">
        <f t="shared" si="4"/>
        <v>cancel BSDGreen</v>
      </c>
    </row>
    <row r="51" spans="1:20">
      <c r="A51" s="16">
        <f t="shared" si="2"/>
        <v>50</v>
      </c>
      <c r="B51" s="50" t="s">
        <v>236</v>
      </c>
      <c r="C51" s="2" t="s">
        <v>6</v>
      </c>
      <c r="D51" s="4" t="s">
        <v>27</v>
      </c>
      <c r="E51" s="5" t="s">
        <v>38</v>
      </c>
      <c r="F51" s="17" t="s">
        <v>811</v>
      </c>
      <c r="G51" s="3">
        <v>1000</v>
      </c>
      <c r="H51" s="3">
        <v>90</v>
      </c>
      <c r="I51" s="5" t="s">
        <v>48</v>
      </c>
      <c r="J51" s="4">
        <v>3</v>
      </c>
      <c r="K51" s="2" t="s">
        <v>11</v>
      </c>
      <c r="L51" s="2" t="s">
        <v>4</v>
      </c>
      <c r="M51" s="4" t="str">
        <f t="shared" si="12"/>
        <v>Telltale_Blind_spot_switch_3</v>
      </c>
      <c r="N51" s="4" t="s">
        <v>83</v>
      </c>
      <c r="O51" s="2" t="s">
        <v>488</v>
      </c>
      <c r="P51" s="2" t="s">
        <v>488</v>
      </c>
      <c r="Q51">
        <f>IFERROR(VLOOKUP(B51,AppWarningConfig!E:K,7,FALSE),0)</f>
        <v>0</v>
      </c>
      <c r="R51" s="2">
        <f t="shared" si="11"/>
        <v>256</v>
      </c>
      <c r="S51" s="41" t="str">
        <f t="shared" si="3"/>
        <v>trigger BSDRed</v>
      </c>
      <c r="T51" s="41" t="str">
        <f t="shared" si="4"/>
        <v>cancel BSDRed</v>
      </c>
    </row>
    <row r="52" spans="1:20">
      <c r="A52" s="16">
        <f t="shared" si="2"/>
        <v>51</v>
      </c>
      <c r="B52" s="50" t="s">
        <v>135</v>
      </c>
      <c r="C52" s="2" t="s">
        <v>46</v>
      </c>
      <c r="D52" s="4" t="s">
        <v>27</v>
      </c>
      <c r="E52" s="5" t="s">
        <v>38</v>
      </c>
      <c r="F52" s="17" t="s">
        <v>811</v>
      </c>
      <c r="G52" s="3">
        <v>1000</v>
      </c>
      <c r="H52" s="3">
        <v>90</v>
      </c>
      <c r="I52" s="5" t="s">
        <v>48</v>
      </c>
      <c r="J52" s="4">
        <v>3</v>
      </c>
      <c r="K52" s="2" t="s">
        <v>11</v>
      </c>
      <c r="L52" s="2" t="s">
        <v>4</v>
      </c>
      <c r="M52" s="4" t="str">
        <f t="shared" si="12"/>
        <v>Telltale_EPB</v>
      </c>
      <c r="N52" s="4" t="s">
        <v>88</v>
      </c>
      <c r="O52" s="2" t="s">
        <v>488</v>
      </c>
      <c r="P52" s="2" t="s">
        <v>488</v>
      </c>
      <c r="Q52">
        <f>IFERROR(VLOOKUP(B52,AppWarningConfig!E:K,7,FALSE),0)</f>
        <v>0</v>
      </c>
      <c r="R52" s="2">
        <f t="shared" si="11"/>
        <v>256</v>
      </c>
      <c r="S52" s="41" t="str">
        <f t="shared" si="3"/>
        <v>trigger EPBRed</v>
      </c>
      <c r="T52" s="41" t="str">
        <f t="shared" si="4"/>
        <v>cancel EPBRed</v>
      </c>
    </row>
    <row r="53" spans="1:20">
      <c r="A53" s="16">
        <f t="shared" si="2"/>
        <v>52</v>
      </c>
      <c r="B53" s="51" t="s">
        <v>706</v>
      </c>
      <c r="C53" s="2" t="s">
        <v>46</v>
      </c>
      <c r="D53" s="4" t="s">
        <v>27</v>
      </c>
      <c r="E53" s="5" t="s">
        <v>38</v>
      </c>
      <c r="F53" s="17" t="s">
        <v>811</v>
      </c>
      <c r="G53" s="3">
        <v>1000</v>
      </c>
      <c r="H53" s="3">
        <v>90</v>
      </c>
      <c r="I53" s="5" t="s">
        <v>48</v>
      </c>
      <c r="J53" s="4">
        <v>3</v>
      </c>
      <c r="K53" s="2" t="s">
        <v>11</v>
      </c>
      <c r="L53" s="2" t="s">
        <v>4</v>
      </c>
      <c r="M53" s="4" t="str">
        <f t="shared" ref="M53" si="13">CONCATENATE("Telltale_",N53)</f>
        <v>Telltale_EPB</v>
      </c>
      <c r="N53" s="4" t="s">
        <v>88</v>
      </c>
      <c r="O53" s="2" t="s">
        <v>488</v>
      </c>
      <c r="P53" s="2" t="s">
        <v>488</v>
      </c>
      <c r="Q53">
        <f>IFERROR(VLOOKUP(B53,AppWarningConfig!E:K,7,FALSE),0)</f>
        <v>0</v>
      </c>
      <c r="R53" s="2">
        <f t="shared" si="11"/>
        <v>256</v>
      </c>
      <c r="S53" s="41" t="str">
        <f t="shared" si="3"/>
        <v>trigger EPBRedBlink</v>
      </c>
      <c r="T53" s="41" t="str">
        <f t="shared" si="4"/>
        <v>cancel EPBRedBlink</v>
      </c>
    </row>
    <row r="54" spans="1:20">
      <c r="A54" s="16">
        <f t="shared" si="2"/>
        <v>53</v>
      </c>
      <c r="B54" s="50" t="s">
        <v>139</v>
      </c>
      <c r="C54" s="2" t="s">
        <v>46</v>
      </c>
      <c r="D54" s="4" t="s">
        <v>27</v>
      </c>
      <c r="E54" s="5" t="s">
        <v>38</v>
      </c>
      <c r="F54" s="17" t="s">
        <v>811</v>
      </c>
      <c r="G54" s="3">
        <v>1000</v>
      </c>
      <c r="H54" s="3">
        <v>90</v>
      </c>
      <c r="I54" s="5" t="s">
        <v>48</v>
      </c>
      <c r="J54" s="4">
        <v>3</v>
      </c>
      <c r="K54" s="2" t="s">
        <v>11</v>
      </c>
      <c r="L54" s="2" t="s">
        <v>4</v>
      </c>
      <c r="M54" s="4" t="str">
        <f t="shared" si="12"/>
        <v>Telltale_EPB_2</v>
      </c>
      <c r="N54" s="4" t="s">
        <v>299</v>
      </c>
      <c r="O54" s="2" t="s">
        <v>488</v>
      </c>
      <c r="P54" s="2" t="s">
        <v>488</v>
      </c>
      <c r="Q54">
        <f>IFERROR(VLOOKUP(B54,AppWarningConfig!E:K,7,FALSE),0)</f>
        <v>0</v>
      </c>
      <c r="R54" s="2">
        <f t="shared" si="11"/>
        <v>256</v>
      </c>
      <c r="S54" s="41" t="str">
        <f t="shared" si="3"/>
        <v>trigger EPBGreen</v>
      </c>
      <c r="T54" s="41" t="str">
        <f t="shared" si="4"/>
        <v>cancel EPBGreen</v>
      </c>
    </row>
    <row r="55" spans="1:20">
      <c r="A55" s="16">
        <f t="shared" si="2"/>
        <v>54</v>
      </c>
      <c r="B55" s="50" t="s">
        <v>185</v>
      </c>
      <c r="C55" s="2" t="s">
        <v>6</v>
      </c>
      <c r="D55" s="4" t="s">
        <v>27</v>
      </c>
      <c r="E55" s="5" t="s">
        <v>28</v>
      </c>
      <c r="F55" s="17" t="s">
        <v>811</v>
      </c>
      <c r="G55" s="3">
        <v>1000</v>
      </c>
      <c r="H55" s="3">
        <v>90</v>
      </c>
      <c r="I55" s="5" t="s">
        <v>48</v>
      </c>
      <c r="J55" s="4">
        <v>3</v>
      </c>
      <c r="K55" s="2" t="s">
        <v>11</v>
      </c>
      <c r="L55" s="2" t="s">
        <v>4</v>
      </c>
      <c r="M55" s="4" t="str">
        <f t="shared" ref="M55" si="14">CONCATENATE("Telltale_",N55)</f>
        <v>Telltale_AVH</v>
      </c>
      <c r="N55" s="4" t="s">
        <v>59</v>
      </c>
      <c r="O55" s="2" t="s">
        <v>488</v>
      </c>
      <c r="P55" s="2" t="s">
        <v>488</v>
      </c>
      <c r="Q55">
        <f>IFERROR(VLOOKUP(B55,AppWarningConfig!E:K,7,FALSE),0)</f>
        <v>0</v>
      </c>
      <c r="R55" s="2">
        <f t="shared" si="11"/>
        <v>256</v>
      </c>
      <c r="S55" s="41" t="str">
        <f t="shared" si="3"/>
        <v>trigger AVHStatusRed</v>
      </c>
      <c r="T55" s="41" t="str">
        <f t="shared" si="4"/>
        <v>cancel AVHStatusRed</v>
      </c>
    </row>
    <row r="56" spans="1:20">
      <c r="A56" s="16">
        <f t="shared" si="2"/>
        <v>55</v>
      </c>
      <c r="B56" s="50" t="s">
        <v>188</v>
      </c>
      <c r="C56" s="2" t="s">
        <v>6</v>
      </c>
      <c r="D56" s="4" t="s">
        <v>27</v>
      </c>
      <c r="E56" s="5" t="s">
        <v>28</v>
      </c>
      <c r="F56" s="17" t="s">
        <v>811</v>
      </c>
      <c r="G56" s="3">
        <v>1000</v>
      </c>
      <c r="H56" s="3">
        <v>90</v>
      </c>
      <c r="I56" s="5" t="s">
        <v>48</v>
      </c>
      <c r="J56" s="4">
        <v>3</v>
      </c>
      <c r="K56" s="2" t="s">
        <v>11</v>
      </c>
      <c r="L56" s="2" t="s">
        <v>4</v>
      </c>
      <c r="M56" s="4" t="str">
        <f t="shared" si="12"/>
        <v>Telltale_AVH_2</v>
      </c>
      <c r="N56" s="4" t="s">
        <v>300</v>
      </c>
      <c r="O56" s="2" t="s">
        <v>488</v>
      </c>
      <c r="P56" s="2" t="s">
        <v>488</v>
      </c>
      <c r="Q56">
        <f>IFERROR(VLOOKUP(B56,AppWarningConfig!E:K,7,FALSE),0)</f>
        <v>0</v>
      </c>
      <c r="R56" s="2">
        <f t="shared" si="11"/>
        <v>256</v>
      </c>
      <c r="S56" s="41" t="str">
        <f t="shared" si="3"/>
        <v>trigger AVHStatusGreen</v>
      </c>
      <c r="T56" s="41" t="str">
        <f t="shared" si="4"/>
        <v>cancel AVHStatusGreen</v>
      </c>
    </row>
    <row r="57" spans="1:20">
      <c r="A57" s="16">
        <f t="shared" si="2"/>
        <v>56</v>
      </c>
      <c r="B57" s="50" t="s">
        <v>941</v>
      </c>
      <c r="C57" s="2" t="s">
        <v>6</v>
      </c>
      <c r="D57" s="2" t="s">
        <v>3</v>
      </c>
      <c r="E57" s="5" t="s">
        <v>8</v>
      </c>
      <c r="F57" s="17" t="s">
        <v>811</v>
      </c>
      <c r="G57" s="3">
        <v>4000</v>
      </c>
      <c r="H57" s="2">
        <v>90</v>
      </c>
      <c r="I57" s="5" t="s">
        <v>49</v>
      </c>
      <c r="J57" s="4">
        <v>3</v>
      </c>
      <c r="K57" s="2" t="s">
        <v>528</v>
      </c>
      <c r="L57" s="2" t="s">
        <v>4</v>
      </c>
      <c r="M57" s="4" t="str">
        <f t="shared" ref="M57:M95" si="15">CONCATENATE("Message_",N57)</f>
        <v>Message_warning_icon_40</v>
      </c>
      <c r="N57" s="4" t="s">
        <v>643</v>
      </c>
      <c r="O57" t="str">
        <f>CONCATENATE("Wrn_",B57)</f>
        <v>Wrn_AEBPleaseBrakeWrn</v>
      </c>
      <c r="P57" s="2" t="str">
        <f>CONCATENATE("WrnList_",B57)</f>
        <v>WrnList_AEBPleaseBrakeWrn</v>
      </c>
      <c r="Q57" t="str">
        <f>IFERROR(VLOOKUP(B57,AppWarningConfig!E:K,7,FALSE),0)</f>
        <v>AUDM_nenLCDGong</v>
      </c>
      <c r="R57" s="2">
        <f t="shared" si="11"/>
        <v>18</v>
      </c>
      <c r="S57" s="41" t="str">
        <f t="shared" si="3"/>
        <v>trigger AEBPleaseBrakeWrn</v>
      </c>
      <c r="T57" s="41" t="str">
        <f t="shared" si="4"/>
        <v>cancel AEBPleaseBrakeWrn</v>
      </c>
    </row>
    <row r="58" spans="1:20">
      <c r="A58" s="16">
        <f t="shared" si="2"/>
        <v>57</v>
      </c>
      <c r="B58" s="50" t="s">
        <v>387</v>
      </c>
      <c r="C58" s="2" t="s">
        <v>471</v>
      </c>
      <c r="D58" s="2" t="s">
        <v>3</v>
      </c>
      <c r="E58" s="5" t="s">
        <v>8</v>
      </c>
      <c r="F58" s="17" t="s">
        <v>811</v>
      </c>
      <c r="G58" s="3">
        <v>4000</v>
      </c>
      <c r="H58" s="2">
        <v>80</v>
      </c>
      <c r="I58" s="5" t="s">
        <v>49</v>
      </c>
      <c r="J58" s="4">
        <v>3</v>
      </c>
      <c r="K58" s="2" t="s">
        <v>386</v>
      </c>
      <c r="L58" s="2" t="s">
        <v>4</v>
      </c>
      <c r="M58" s="4" t="str">
        <f t="shared" ref="M58:M90" si="16">CONCATENATE("Message_",N58)</f>
        <v>Message_warning_icon_8</v>
      </c>
      <c r="N58" s="4" t="s">
        <v>644</v>
      </c>
      <c r="O58" t="str">
        <f t="shared" ref="O58:O135" si="17">CONCATENATE("Wrn_",B58)</f>
        <v>Wrn_LightLeftOnWrn</v>
      </c>
      <c r="P58" s="2" t="str">
        <f t="shared" ref="P58:P134" si="18">CONCATENATE("WrnList_",B58)</f>
        <v>WrnList_LightLeftOnWrn</v>
      </c>
      <c r="Q58" t="str">
        <f>IFERROR(VLOOKUP(B58,AppWarningConfig!E:K,7,FALSE),0)</f>
        <v>AUDM_nenLightsOn</v>
      </c>
      <c r="R58" s="2">
        <f t="shared" si="11"/>
        <v>14</v>
      </c>
      <c r="S58" s="41" t="str">
        <f t="shared" si="3"/>
        <v>trigger LightLeftOnWrn</v>
      </c>
      <c r="T58" s="41" t="str">
        <f t="shared" si="4"/>
        <v>cancel LightLeftOnWrn</v>
      </c>
    </row>
    <row r="59" spans="1:20">
      <c r="A59" s="16">
        <f t="shared" si="2"/>
        <v>58</v>
      </c>
      <c r="B59" s="27" t="s">
        <v>24</v>
      </c>
      <c r="C59" s="2" t="s">
        <v>46</v>
      </c>
      <c r="D59" s="2" t="s">
        <v>3</v>
      </c>
      <c r="E59" s="5" t="s">
        <v>8</v>
      </c>
      <c r="F59" s="17" t="s">
        <v>812</v>
      </c>
      <c r="G59" s="3">
        <v>4000</v>
      </c>
      <c r="H59" s="2">
        <v>60</v>
      </c>
      <c r="I59" s="5" t="s">
        <v>47</v>
      </c>
      <c r="J59" s="4">
        <v>3</v>
      </c>
      <c r="K59" s="2" t="s">
        <v>1546</v>
      </c>
      <c r="L59" s="2" t="s">
        <v>4</v>
      </c>
      <c r="M59" s="4" t="str">
        <f>CONCATENATE("DoorOpen_",N59)</f>
        <v>DoorOpen_door_open_car</v>
      </c>
      <c r="N59" s="4" t="s">
        <v>45</v>
      </c>
      <c r="O59" t="str">
        <f t="shared" si="17"/>
        <v>Wrn_DoorOpen</v>
      </c>
      <c r="P59" s="2" t="str">
        <f t="shared" si="18"/>
        <v>WrnList_DoorOpen</v>
      </c>
      <c r="Q59">
        <f>IFERROR(VLOOKUP(B59,AppWarningConfig!E:K,7,FALSE),0)</f>
        <v>0</v>
      </c>
      <c r="R59" s="2">
        <f t="shared" si="11"/>
        <v>256</v>
      </c>
      <c r="S59" s="41" t="str">
        <f t="shared" si="3"/>
        <v>trigger DoorOpen</v>
      </c>
      <c r="T59" s="41" t="str">
        <f t="shared" si="4"/>
        <v>cancel DoorOpen</v>
      </c>
    </row>
    <row r="60" spans="1:20">
      <c r="A60" s="16">
        <f t="shared" si="2"/>
        <v>59</v>
      </c>
      <c r="B60" s="23" t="s">
        <v>344</v>
      </c>
      <c r="C60" s="2" t="s">
        <v>6</v>
      </c>
      <c r="D60" s="14" t="s">
        <v>5</v>
      </c>
      <c r="E60" s="5" t="s">
        <v>8</v>
      </c>
      <c r="F60" s="17" t="s">
        <v>811</v>
      </c>
      <c r="G60" s="3">
        <v>3000</v>
      </c>
      <c r="H60" s="2">
        <v>90</v>
      </c>
      <c r="I60" s="5" t="s">
        <v>50</v>
      </c>
      <c r="J60" s="4">
        <v>3</v>
      </c>
      <c r="K60" s="2" t="s">
        <v>343</v>
      </c>
      <c r="L60" s="2" t="s">
        <v>4</v>
      </c>
      <c r="M60" s="4"/>
      <c r="N60" s="4"/>
      <c r="O60" t="str">
        <f t="shared" si="17"/>
        <v>Wrn_EnterECOModeWrn</v>
      </c>
      <c r="P60" s="2" t="str">
        <f t="shared" si="18"/>
        <v>WrnList_EnterECOModeWrn</v>
      </c>
      <c r="Q60" t="str">
        <f>IFERROR(VLOOKUP(B60,AppWarningConfig!E:K,7,FALSE),0)</f>
        <v>AUDM_nenLCDGong</v>
      </c>
      <c r="R60" s="2">
        <f t="shared" si="11"/>
        <v>18</v>
      </c>
      <c r="S60" s="41" t="str">
        <f t="shared" si="3"/>
        <v>trigger EnterECOModeWrn</v>
      </c>
      <c r="T60" s="41" t="str">
        <f t="shared" si="4"/>
        <v>cancel EnterECOModeWrn</v>
      </c>
    </row>
    <row r="61" spans="1:20">
      <c r="A61" s="16">
        <f t="shared" si="2"/>
        <v>60</v>
      </c>
      <c r="B61" s="23" t="s">
        <v>346</v>
      </c>
      <c r="C61" s="2" t="s">
        <v>6</v>
      </c>
      <c r="D61" s="14" t="s">
        <v>5</v>
      </c>
      <c r="E61" s="5" t="s">
        <v>8</v>
      </c>
      <c r="F61" s="17" t="s">
        <v>811</v>
      </c>
      <c r="G61" s="3">
        <v>3000</v>
      </c>
      <c r="H61" s="2">
        <v>90</v>
      </c>
      <c r="I61" s="5" t="s">
        <v>50</v>
      </c>
      <c r="J61" s="4">
        <v>3</v>
      </c>
      <c r="K61" s="2" t="s">
        <v>345</v>
      </c>
      <c r="L61" s="2" t="s">
        <v>4</v>
      </c>
      <c r="M61" s="4"/>
      <c r="N61" s="4"/>
      <c r="O61" t="str">
        <f t="shared" si="17"/>
        <v>Wrn_EnterSportModeWrn</v>
      </c>
      <c r="P61" s="2" t="str">
        <f t="shared" si="18"/>
        <v>WrnList_EnterSportModeWrn</v>
      </c>
      <c r="Q61" t="str">
        <f>IFERROR(VLOOKUP(B61,AppWarningConfig!E:K,7,FALSE),0)</f>
        <v>AUDM_nenLCDGong</v>
      </c>
      <c r="R61" s="2">
        <f t="shared" si="11"/>
        <v>18</v>
      </c>
      <c r="S61" s="41" t="str">
        <f t="shared" si="3"/>
        <v>trigger EnterSportModeWrn</v>
      </c>
      <c r="T61" s="41" t="str">
        <f t="shared" si="4"/>
        <v>cancel EnterSportModeWrn</v>
      </c>
    </row>
    <row r="62" spans="1:20">
      <c r="A62" s="16">
        <f t="shared" si="2"/>
        <v>61</v>
      </c>
      <c r="B62" s="23" t="s">
        <v>348</v>
      </c>
      <c r="C62" s="2" t="s">
        <v>6</v>
      </c>
      <c r="D62" s="14" t="s">
        <v>5</v>
      </c>
      <c r="E62" s="5" t="s">
        <v>8</v>
      </c>
      <c r="F62" s="17" t="s">
        <v>811</v>
      </c>
      <c r="G62" s="3">
        <v>3000</v>
      </c>
      <c r="H62" s="2">
        <v>90</v>
      </c>
      <c r="I62" s="5" t="s">
        <v>50</v>
      </c>
      <c r="J62" s="4">
        <v>3</v>
      </c>
      <c r="K62" s="2" t="s">
        <v>347</v>
      </c>
      <c r="L62" s="2" t="s">
        <v>4</v>
      </c>
      <c r="M62" s="4"/>
      <c r="N62" s="4"/>
      <c r="O62" t="str">
        <f t="shared" si="17"/>
        <v>Wrn_EnterEcoFailWrn</v>
      </c>
      <c r="P62" s="2" t="str">
        <f t="shared" si="18"/>
        <v>WrnList_EnterEcoFailWrn</v>
      </c>
      <c r="Q62" t="str">
        <f>IFERROR(VLOOKUP(B62,AppWarningConfig!E:K,7,FALSE),0)</f>
        <v>AUDM_nenLCDGong</v>
      </c>
      <c r="R62" s="2">
        <f t="shared" si="11"/>
        <v>18</v>
      </c>
      <c r="S62" s="41" t="str">
        <f t="shared" si="3"/>
        <v>trigger EnterEcoFailWrn</v>
      </c>
      <c r="T62" s="41" t="str">
        <f t="shared" si="4"/>
        <v>cancel EnterEcoFailWrn</v>
      </c>
    </row>
    <row r="63" spans="1:20">
      <c r="A63" s="16">
        <f t="shared" si="2"/>
        <v>62</v>
      </c>
      <c r="B63" s="23" t="s">
        <v>350</v>
      </c>
      <c r="C63" s="2" t="s">
        <v>6</v>
      </c>
      <c r="D63" s="14" t="s">
        <v>5</v>
      </c>
      <c r="E63" s="5" t="s">
        <v>8</v>
      </c>
      <c r="F63" s="17" t="s">
        <v>811</v>
      </c>
      <c r="G63" s="3">
        <v>3000</v>
      </c>
      <c r="H63" s="2">
        <v>90</v>
      </c>
      <c r="I63" s="5" t="s">
        <v>50</v>
      </c>
      <c r="J63" s="4">
        <v>3</v>
      </c>
      <c r="K63" s="2" t="s">
        <v>349</v>
      </c>
      <c r="L63" s="2" t="s">
        <v>4</v>
      </c>
      <c r="M63" s="4"/>
      <c r="N63" s="4"/>
      <c r="O63" t="str">
        <f t="shared" si="17"/>
        <v>Wrn_EnterSportFailWrn</v>
      </c>
      <c r="P63" s="2" t="str">
        <f t="shared" si="18"/>
        <v>WrnList_EnterSportFailWrn</v>
      </c>
      <c r="Q63" t="str">
        <f>IFERROR(VLOOKUP(B63,AppWarningConfig!E:K,7,FALSE),0)</f>
        <v>AUDM_nenLCDGong</v>
      </c>
      <c r="R63" s="2">
        <f t="shared" si="11"/>
        <v>18</v>
      </c>
      <c r="S63" s="41" t="str">
        <f t="shared" si="3"/>
        <v>trigger EnterSportFailWrn</v>
      </c>
      <c r="T63" s="41" t="str">
        <f t="shared" si="4"/>
        <v>cancel EnterSportFailWrn</v>
      </c>
    </row>
    <row r="64" spans="1:20">
      <c r="A64" s="16">
        <f t="shared" si="2"/>
        <v>63</v>
      </c>
      <c r="B64" s="23" t="s">
        <v>944</v>
      </c>
      <c r="C64" s="2" t="s">
        <v>6</v>
      </c>
      <c r="D64" s="14" t="s">
        <v>5</v>
      </c>
      <c r="E64" s="5" t="s">
        <v>8</v>
      </c>
      <c r="F64" s="17" t="s">
        <v>811</v>
      </c>
      <c r="G64" s="3">
        <v>3000</v>
      </c>
      <c r="H64" s="2">
        <v>90</v>
      </c>
      <c r="I64" s="5" t="s">
        <v>50</v>
      </c>
      <c r="J64" s="4">
        <v>3</v>
      </c>
      <c r="K64" s="2" t="s">
        <v>943</v>
      </c>
      <c r="L64" s="2" t="s">
        <v>4</v>
      </c>
      <c r="M64" s="4" t="str">
        <f t="shared" ref="M64:M67" si="19">CONCATENATE("Message_",N64)</f>
        <v>Message_NA</v>
      </c>
      <c r="N64" s="4" t="s">
        <v>473</v>
      </c>
      <c r="O64" t="str">
        <f t="shared" ref="O64:O67" si="20">CONCATENATE("Wrn_",B64)</f>
        <v>Wrn_ChangeModeFailEMSWrn</v>
      </c>
      <c r="P64" s="2" t="str">
        <f t="shared" ref="P64:P67" si="21">CONCATENATE("WrnList_",B64)</f>
        <v>WrnList_ChangeModeFailEMSWrn</v>
      </c>
      <c r="Q64" t="str">
        <f>IFERROR(VLOOKUP(B64,AppWarningConfig!E:K,7,FALSE),0)</f>
        <v>AUDM_nenLCDGong</v>
      </c>
      <c r="R64" s="2">
        <f t="shared" si="11"/>
        <v>18</v>
      </c>
      <c r="S64" s="41" t="str">
        <f t="shared" ref="S64:S67" si="22" xml:space="preserve"> CONCATENATE("trigger ",B64)</f>
        <v>trigger ChangeModeFailEMSWrn</v>
      </c>
      <c r="T64" s="41" t="str">
        <f t="shared" ref="T64:T67" si="23" xml:space="preserve"> CONCATENATE("cancel ",B64)</f>
        <v>cancel ChangeModeFailEMSWrn</v>
      </c>
    </row>
    <row r="65" spans="1:20">
      <c r="A65" s="16">
        <f t="shared" si="2"/>
        <v>64</v>
      </c>
      <c r="B65" s="23" t="s">
        <v>947</v>
      </c>
      <c r="C65" s="2" t="s">
        <v>6</v>
      </c>
      <c r="D65" s="14" t="s">
        <v>5</v>
      </c>
      <c r="E65" s="5" t="s">
        <v>8</v>
      </c>
      <c r="F65" s="17" t="s">
        <v>811</v>
      </c>
      <c r="G65" s="3">
        <v>3000</v>
      </c>
      <c r="H65" s="2">
        <v>90</v>
      </c>
      <c r="I65" s="5" t="s">
        <v>50</v>
      </c>
      <c r="J65" s="4">
        <v>3</v>
      </c>
      <c r="K65" s="2" t="s">
        <v>946</v>
      </c>
      <c r="L65" s="2" t="s">
        <v>4</v>
      </c>
      <c r="M65" s="4" t="str">
        <f t="shared" si="19"/>
        <v>Message_NA</v>
      </c>
      <c r="N65" s="4" t="s">
        <v>473</v>
      </c>
      <c r="O65" t="str">
        <f t="shared" si="20"/>
        <v>Wrn_ChangeModeFailTCUWrn</v>
      </c>
      <c r="P65" s="2" t="str">
        <f t="shared" si="21"/>
        <v>WrnList_ChangeModeFailTCUWrn</v>
      </c>
      <c r="Q65" t="str">
        <f>IFERROR(VLOOKUP(B65,AppWarningConfig!E:K,7,FALSE),0)</f>
        <v>AUDM_nenLCDGong</v>
      </c>
      <c r="R65" s="2">
        <f t="shared" si="11"/>
        <v>18</v>
      </c>
      <c r="S65" s="41" t="str">
        <f t="shared" si="22"/>
        <v>trigger ChangeModeFailTCUWrn</v>
      </c>
      <c r="T65" s="41" t="str">
        <f t="shared" si="23"/>
        <v>cancel ChangeModeFailTCUWrn</v>
      </c>
    </row>
    <row r="66" spans="1:20">
      <c r="A66" s="16">
        <f t="shared" si="2"/>
        <v>65</v>
      </c>
      <c r="B66" s="23" t="s">
        <v>950</v>
      </c>
      <c r="C66" s="2" t="s">
        <v>6</v>
      </c>
      <c r="D66" s="14" t="s">
        <v>5</v>
      </c>
      <c r="E66" s="5" t="s">
        <v>8</v>
      </c>
      <c r="F66" s="17" t="s">
        <v>811</v>
      </c>
      <c r="G66" s="3">
        <v>3000</v>
      </c>
      <c r="H66" s="2">
        <v>90</v>
      </c>
      <c r="I66" s="5" t="s">
        <v>50</v>
      </c>
      <c r="J66" s="4">
        <v>3</v>
      </c>
      <c r="K66" s="2" t="s">
        <v>949</v>
      </c>
      <c r="L66" s="2" t="s">
        <v>4</v>
      </c>
      <c r="M66" s="4" t="str">
        <f t="shared" si="19"/>
        <v>Message_NA</v>
      </c>
      <c r="N66" s="4" t="s">
        <v>473</v>
      </c>
      <c r="O66" t="str">
        <f t="shared" si="20"/>
        <v>Wrn_ChangeModeFailESCWrn</v>
      </c>
      <c r="P66" s="2" t="str">
        <f t="shared" si="21"/>
        <v>WrnList_ChangeModeFailESCWrn</v>
      </c>
      <c r="Q66" t="str">
        <f>IFERROR(VLOOKUP(B66,AppWarningConfig!E:K,7,FALSE),0)</f>
        <v>AUDM_nenLCDGong</v>
      </c>
      <c r="R66" s="2">
        <f t="shared" ref="R66:R97" si="24">IFERROR(VLOOKUP(Q66,V:AW,2,FALSE),256)</f>
        <v>18</v>
      </c>
      <c r="S66" s="41" t="str">
        <f t="shared" si="22"/>
        <v>trigger ChangeModeFailESCWrn</v>
      </c>
      <c r="T66" s="41" t="str">
        <f t="shared" si="23"/>
        <v>cancel ChangeModeFailESCWrn</v>
      </c>
    </row>
    <row r="67" spans="1:20">
      <c r="A67" s="16">
        <f t="shared" ref="A67:A136" si="25">ROW()-1</f>
        <v>66</v>
      </c>
      <c r="B67" s="23" t="s">
        <v>953</v>
      </c>
      <c r="C67" s="2" t="s">
        <v>6</v>
      </c>
      <c r="D67" s="14" t="s">
        <v>5</v>
      </c>
      <c r="E67" s="5" t="s">
        <v>8</v>
      </c>
      <c r="F67" s="17" t="s">
        <v>811</v>
      </c>
      <c r="G67" s="3">
        <v>3000</v>
      </c>
      <c r="H67" s="2">
        <v>90</v>
      </c>
      <c r="I67" s="5" t="s">
        <v>50</v>
      </c>
      <c r="J67" s="4">
        <v>3</v>
      </c>
      <c r="K67" s="2" t="s">
        <v>952</v>
      </c>
      <c r="L67" s="2" t="s">
        <v>4</v>
      </c>
      <c r="M67" s="4" t="str">
        <f t="shared" si="19"/>
        <v>Message_NA</v>
      </c>
      <c r="N67" s="4" t="s">
        <v>473</v>
      </c>
      <c r="O67" t="str">
        <f t="shared" si="20"/>
        <v>Wrn_ChangeModeFailEPSWrn</v>
      </c>
      <c r="P67" s="2" t="str">
        <f t="shared" si="21"/>
        <v>WrnList_ChangeModeFailEPSWrn</v>
      </c>
      <c r="Q67" t="str">
        <f>IFERROR(VLOOKUP(B67,AppWarningConfig!E:K,7,FALSE),0)</f>
        <v>AUDM_nenLCDGong</v>
      </c>
      <c r="R67" s="2">
        <f t="shared" si="24"/>
        <v>18</v>
      </c>
      <c r="S67" s="41" t="str">
        <f t="shared" si="22"/>
        <v>trigger ChangeModeFailEPSWrn</v>
      </c>
      <c r="T67" s="41" t="str">
        <f t="shared" si="23"/>
        <v>cancel ChangeModeFailEPSWrn</v>
      </c>
    </row>
    <row r="68" spans="1:20">
      <c r="A68" s="16">
        <f t="shared" si="25"/>
        <v>67</v>
      </c>
      <c r="B68" s="23" t="s">
        <v>352</v>
      </c>
      <c r="C68" s="2" t="s">
        <v>6</v>
      </c>
      <c r="D68" s="14" t="s">
        <v>5</v>
      </c>
      <c r="E68" s="5" t="s">
        <v>8</v>
      </c>
      <c r="F68" s="17" t="s">
        <v>811</v>
      </c>
      <c r="G68" s="3">
        <v>3000</v>
      </c>
      <c r="H68" s="2">
        <v>90</v>
      </c>
      <c r="I68" s="5" t="s">
        <v>50</v>
      </c>
      <c r="J68" s="4">
        <v>3</v>
      </c>
      <c r="K68" s="2" t="s">
        <v>1083</v>
      </c>
      <c r="L68" s="2" t="s">
        <v>4</v>
      </c>
      <c r="M68" s="4" t="str">
        <f t="shared" si="16"/>
        <v>Message_warning_icon_17</v>
      </c>
      <c r="N68" s="4" t="s">
        <v>645</v>
      </c>
      <c r="O68" t="str">
        <f t="shared" si="17"/>
        <v>Wrn_ShiftDWrn</v>
      </c>
      <c r="P68" s="2" t="str">
        <f t="shared" si="18"/>
        <v>WrnList_ShiftDWrn</v>
      </c>
      <c r="Q68" t="str">
        <f>IFERROR(VLOOKUP(B68,AppWarningConfig!E:K,7,FALSE),0)</f>
        <v>AUDM_nenLCDGong</v>
      </c>
      <c r="R68" s="2">
        <f t="shared" si="24"/>
        <v>18</v>
      </c>
      <c r="S68" s="41" t="str">
        <f t="shared" si="3"/>
        <v>trigger ShiftDWrn</v>
      </c>
      <c r="T68" s="41" t="str">
        <f t="shared" si="4"/>
        <v>cancel ShiftDWrn</v>
      </c>
    </row>
    <row r="69" spans="1:20">
      <c r="A69" s="16">
        <f t="shared" si="25"/>
        <v>68</v>
      </c>
      <c r="B69" s="23" t="s">
        <v>354</v>
      </c>
      <c r="C69" s="2" t="s">
        <v>6</v>
      </c>
      <c r="D69" s="14" t="s">
        <v>5</v>
      </c>
      <c r="E69" s="5" t="s">
        <v>8</v>
      </c>
      <c r="F69" s="17" t="s">
        <v>811</v>
      </c>
      <c r="G69" s="3">
        <v>3000</v>
      </c>
      <c r="H69" s="2">
        <v>90</v>
      </c>
      <c r="I69" s="5" t="s">
        <v>50</v>
      </c>
      <c r="J69" s="4">
        <v>3</v>
      </c>
      <c r="K69" s="2" t="s">
        <v>475</v>
      </c>
      <c r="L69" s="2" t="s">
        <v>4</v>
      </c>
      <c r="M69" s="4" t="str">
        <f t="shared" si="16"/>
        <v>Message_warning_icon_36</v>
      </c>
      <c r="N69" s="4" t="s">
        <v>646</v>
      </c>
      <c r="O69" t="str">
        <f t="shared" si="17"/>
        <v>Wrn_TurnKnobRightWrn</v>
      </c>
      <c r="P69" s="2" t="str">
        <f t="shared" si="18"/>
        <v>WrnList_TurnKnobRightWrn</v>
      </c>
      <c r="Q69" t="str">
        <f>IFERROR(VLOOKUP(B69,AppWarningConfig!E:K,7,FALSE),0)</f>
        <v>AUDM_nenLCDGong</v>
      </c>
      <c r="R69" s="2">
        <f t="shared" si="24"/>
        <v>18</v>
      </c>
      <c r="S69" s="41" t="str">
        <f t="shared" si="3"/>
        <v>trigger TurnKnobRightWrn</v>
      </c>
      <c r="T69" s="41" t="str">
        <f t="shared" si="4"/>
        <v>cancel TurnKnobRightWrn</v>
      </c>
    </row>
    <row r="70" spans="1:20">
      <c r="A70" s="16">
        <f t="shared" si="25"/>
        <v>69</v>
      </c>
      <c r="B70" s="23" t="s">
        <v>356</v>
      </c>
      <c r="C70" s="2" t="s">
        <v>6</v>
      </c>
      <c r="D70" s="14" t="s">
        <v>5</v>
      </c>
      <c r="E70" s="5" t="s">
        <v>8</v>
      </c>
      <c r="F70" s="17" t="s">
        <v>811</v>
      </c>
      <c r="G70" s="3">
        <v>3000</v>
      </c>
      <c r="H70" s="2">
        <v>90</v>
      </c>
      <c r="I70" s="5" t="s">
        <v>50</v>
      </c>
      <c r="J70" s="4">
        <v>3</v>
      </c>
      <c r="K70" s="2" t="s">
        <v>476</v>
      </c>
      <c r="L70" s="2" t="s">
        <v>4</v>
      </c>
      <c r="M70" s="4" t="str">
        <f t="shared" si="16"/>
        <v>Message_warning_icon_40</v>
      </c>
      <c r="N70" s="4" t="s">
        <v>643</v>
      </c>
      <c r="O70" t="str">
        <f t="shared" si="17"/>
        <v>Wrn_PressBrakeWrn</v>
      </c>
      <c r="P70" s="2" t="str">
        <f t="shared" si="18"/>
        <v>WrnList_PressBrakeWrn</v>
      </c>
      <c r="Q70" t="str">
        <f>IFERROR(VLOOKUP(B70,AppWarningConfig!E:K,7,FALSE),0)</f>
        <v>AUDM_nenLCDGong</v>
      </c>
      <c r="R70" s="2">
        <f t="shared" si="24"/>
        <v>18</v>
      </c>
      <c r="S70" s="41" t="str">
        <f t="shared" si="3"/>
        <v>trigger PressBrakeWrn</v>
      </c>
      <c r="T70" s="41" t="str">
        <f t="shared" si="4"/>
        <v>cancel PressBrakeWrn</v>
      </c>
    </row>
    <row r="71" spans="1:20">
      <c r="A71" s="16">
        <f t="shared" si="25"/>
        <v>70</v>
      </c>
      <c r="B71" s="23" t="s">
        <v>358</v>
      </c>
      <c r="C71" s="2" t="s">
        <v>6</v>
      </c>
      <c r="D71" s="14" t="s">
        <v>5</v>
      </c>
      <c r="E71" s="5" t="s">
        <v>8</v>
      </c>
      <c r="F71" s="17" t="s">
        <v>811</v>
      </c>
      <c r="G71" s="3">
        <v>3000</v>
      </c>
      <c r="H71" s="2">
        <v>90</v>
      </c>
      <c r="I71" s="5" t="s">
        <v>50</v>
      </c>
      <c r="J71" s="4">
        <v>3</v>
      </c>
      <c r="K71" s="2" t="s">
        <v>631</v>
      </c>
      <c r="L71" s="2" t="s">
        <v>4</v>
      </c>
      <c r="M71" s="4" t="str">
        <f t="shared" si="16"/>
        <v>Message_warning_icon_61</v>
      </c>
      <c r="N71" s="4" t="s">
        <v>647</v>
      </c>
      <c r="O71" t="str">
        <f t="shared" si="17"/>
        <v>Wrn_PressUnlockWrn</v>
      </c>
      <c r="P71" s="2" t="str">
        <f t="shared" si="18"/>
        <v>WrnList_PressUnlockWrn</v>
      </c>
      <c r="Q71" t="str">
        <f>IFERROR(VLOOKUP(B71,AppWarningConfig!E:K,7,FALSE),0)</f>
        <v>AUDM_nenLCDGong</v>
      </c>
      <c r="R71" s="2">
        <f t="shared" si="24"/>
        <v>18</v>
      </c>
      <c r="S71" s="41" t="str">
        <f t="shared" si="3"/>
        <v>trigger PressUnlockWrn</v>
      </c>
      <c r="T71" s="41" t="str">
        <f t="shared" si="4"/>
        <v>cancel PressUnlockWrn</v>
      </c>
    </row>
    <row r="72" spans="1:20">
      <c r="A72" s="16">
        <f t="shared" si="25"/>
        <v>71</v>
      </c>
      <c r="B72" s="23" t="s">
        <v>360</v>
      </c>
      <c r="C72" s="2" t="s">
        <v>6</v>
      </c>
      <c r="D72" s="14" t="s">
        <v>5</v>
      </c>
      <c r="E72" s="5" t="s">
        <v>8</v>
      </c>
      <c r="F72" s="17" t="s">
        <v>811</v>
      </c>
      <c r="G72" s="3">
        <v>3000</v>
      </c>
      <c r="H72" s="2">
        <v>90</v>
      </c>
      <c r="I72" s="5" t="s">
        <v>50</v>
      </c>
      <c r="J72" s="4">
        <v>3</v>
      </c>
      <c r="K72" s="2" t="s">
        <v>477</v>
      </c>
      <c r="L72" s="2" t="s">
        <v>4</v>
      </c>
      <c r="M72" s="4" t="str">
        <f t="shared" si="16"/>
        <v>Message_warning_icon_38</v>
      </c>
      <c r="N72" s="4" t="s">
        <v>648</v>
      </c>
      <c r="O72" t="str">
        <f t="shared" si="17"/>
        <v>Wrn_PressBrakeUnlockWrn</v>
      </c>
      <c r="P72" s="2" t="str">
        <f t="shared" si="18"/>
        <v>WrnList_PressBrakeUnlockWrn</v>
      </c>
      <c r="Q72" t="str">
        <f>IFERROR(VLOOKUP(B72,AppWarningConfig!E:K,7,FALSE),0)</f>
        <v>AUDM_nenLCDGong</v>
      </c>
      <c r="R72" s="2">
        <f t="shared" si="24"/>
        <v>18</v>
      </c>
      <c r="S72" s="41" t="str">
        <f t="shared" ref="S72:S144" si="26" xml:space="preserve"> CONCATENATE("trigger ",B72)</f>
        <v>trigger PressBrakeUnlockWrn</v>
      </c>
      <c r="T72" s="41" t="str">
        <f t="shared" ref="T72:T144" si="27" xml:space="preserve"> CONCATENATE("cancel ",B72)</f>
        <v>cancel PressBrakeUnlockWrn</v>
      </c>
    </row>
    <row r="73" spans="1:20">
      <c r="A73" s="16">
        <f t="shared" si="25"/>
        <v>72</v>
      </c>
      <c r="B73" s="23" t="s">
        <v>362</v>
      </c>
      <c r="C73" s="2" t="s">
        <v>6</v>
      </c>
      <c r="D73" s="14" t="s">
        <v>5</v>
      </c>
      <c r="E73" s="5" t="s">
        <v>8</v>
      </c>
      <c r="F73" s="17" t="s">
        <v>811</v>
      </c>
      <c r="G73" s="3">
        <v>3000</v>
      </c>
      <c r="H73" s="2">
        <v>90</v>
      </c>
      <c r="I73" s="5" t="s">
        <v>50</v>
      </c>
      <c r="J73" s="4">
        <v>3</v>
      </c>
      <c r="K73" s="2" t="s">
        <v>1084</v>
      </c>
      <c r="L73" s="2" t="s">
        <v>4</v>
      </c>
      <c r="M73" s="4" t="str">
        <f t="shared" si="16"/>
        <v>Message_warning_icon_16</v>
      </c>
      <c r="N73" s="4" t="s">
        <v>649</v>
      </c>
      <c r="O73" t="str">
        <f t="shared" si="17"/>
        <v>Wrn_StopShiftPWrn</v>
      </c>
      <c r="P73" s="2" t="str">
        <f t="shared" si="18"/>
        <v>WrnList_StopShiftPWrn</v>
      </c>
      <c r="Q73" t="str">
        <f>IFERROR(VLOOKUP(B73,AppWarningConfig!E:K,7,FALSE),0)</f>
        <v>AUDM_nenLCDGong</v>
      </c>
      <c r="R73" s="2">
        <f t="shared" si="24"/>
        <v>18</v>
      </c>
      <c r="S73" s="41" t="str">
        <f t="shared" si="26"/>
        <v>trigger StopShiftPWrn</v>
      </c>
      <c r="T73" s="41" t="str">
        <f t="shared" si="27"/>
        <v>cancel StopShiftPWrn</v>
      </c>
    </row>
    <row r="74" spans="1:20">
      <c r="A74" s="16">
        <f t="shared" si="25"/>
        <v>73</v>
      </c>
      <c r="B74" s="43" t="s">
        <v>994</v>
      </c>
      <c r="C74" s="2" t="s">
        <v>6</v>
      </c>
      <c r="D74" s="14" t="s">
        <v>5</v>
      </c>
      <c r="E74" s="5" t="s">
        <v>8</v>
      </c>
      <c r="F74" s="17" t="s">
        <v>811</v>
      </c>
      <c r="G74" s="3">
        <v>3000</v>
      </c>
      <c r="H74" s="2">
        <v>90</v>
      </c>
      <c r="I74" s="5" t="s">
        <v>50</v>
      </c>
      <c r="J74" s="4">
        <v>3</v>
      </c>
      <c r="K74" s="2" t="s">
        <v>1001</v>
      </c>
      <c r="L74" s="2" t="s">
        <v>4</v>
      </c>
      <c r="M74" s="4" t="str">
        <f t="shared" ref="M74" si="28">CONCATENATE("Message_",N74)</f>
        <v>Message_warning_icon_40</v>
      </c>
      <c r="N74" s="4" t="s">
        <v>643</v>
      </c>
      <c r="O74" t="str">
        <f t="shared" ref="O74" si="29">CONCATENATE("Wrn_",B74)</f>
        <v>Wrn_SelfLearningBrakeWrn</v>
      </c>
      <c r="P74" s="2" t="str">
        <f t="shared" ref="P74" si="30">CONCATENATE("WrnList_",B74)</f>
        <v>WrnList_SelfLearningBrakeWrn</v>
      </c>
      <c r="Q74" t="str">
        <f>IFERROR(VLOOKUP(B74,AppWarningConfig!E:K,7,FALSE),0)</f>
        <v>AUDM_nenLCDGong</v>
      </c>
      <c r="R74" s="2">
        <f t="shared" si="24"/>
        <v>18</v>
      </c>
      <c r="S74" s="41" t="str">
        <f t="shared" ref="S74" si="31" xml:space="preserve"> CONCATENATE("trigger ",B74)</f>
        <v>trigger SelfLearningBrakeWrn</v>
      </c>
      <c r="T74" s="41" t="str">
        <f t="shared" ref="T74" si="32" xml:space="preserve"> CONCATENATE("cancel ",B74)</f>
        <v>cancel SelfLearningBrakeWrn</v>
      </c>
    </row>
    <row r="75" spans="1:20">
      <c r="A75" s="16">
        <f t="shared" si="25"/>
        <v>74</v>
      </c>
      <c r="B75" s="43" t="s">
        <v>997</v>
      </c>
      <c r="C75" s="2" t="s">
        <v>6</v>
      </c>
      <c r="D75" s="14" t="s">
        <v>5</v>
      </c>
      <c r="E75" s="5" t="s">
        <v>8</v>
      </c>
      <c r="F75" s="17" t="s">
        <v>811</v>
      </c>
      <c r="G75" s="3">
        <v>3000</v>
      </c>
      <c r="H75" s="2">
        <v>90</v>
      </c>
      <c r="I75" s="5" t="s">
        <v>50</v>
      </c>
      <c r="J75" s="4">
        <v>3</v>
      </c>
      <c r="K75" s="2" t="s">
        <v>1085</v>
      </c>
      <c r="L75" s="2" t="s">
        <v>4</v>
      </c>
      <c r="M75" s="4" t="str">
        <f t="shared" ref="M75" si="33">CONCATENATE("Message_",N75)</f>
        <v>Message_warning_icon_83</v>
      </c>
      <c r="N75" s="4" t="s">
        <v>1545</v>
      </c>
      <c r="O75" t="str">
        <f t="shared" ref="O75" si="34">CONCATENATE("Wrn_",B75)</f>
        <v>Wrn_ShiftPToPrevent</v>
      </c>
      <c r="P75" s="2" t="str">
        <f t="shared" ref="P75" si="35">CONCATENATE("WrnList_",B75)</f>
        <v>WrnList_ShiftPToPrevent</v>
      </c>
      <c r="Q75" t="str">
        <f>IFERROR(VLOOKUP(B75,AppWarningConfig!E:K,7,FALSE),0)</f>
        <v>AUDM_nenLCDGong</v>
      </c>
      <c r="R75" s="2">
        <f t="shared" si="24"/>
        <v>18</v>
      </c>
      <c r="S75" s="41" t="str">
        <f t="shared" ref="S75" si="36" xml:space="preserve"> CONCATENATE("trigger ",B75)</f>
        <v>trigger ShiftPToPrevent</v>
      </c>
      <c r="T75" s="41" t="str">
        <f t="shared" ref="T75" si="37" xml:space="preserve"> CONCATENATE("cancel ",B75)</f>
        <v>cancel ShiftPToPrevent</v>
      </c>
    </row>
    <row r="76" spans="1:20" s="29" customFormat="1">
      <c r="A76" s="16">
        <f t="shared" si="25"/>
        <v>75</v>
      </c>
      <c r="B76" s="22" t="s">
        <v>636</v>
      </c>
      <c r="C76" s="29" t="s">
        <v>6</v>
      </c>
      <c r="D76" s="30" t="s">
        <v>5</v>
      </c>
      <c r="E76" s="29" t="s">
        <v>8</v>
      </c>
      <c r="F76" s="17" t="s">
        <v>811</v>
      </c>
      <c r="G76" s="3">
        <v>3000</v>
      </c>
      <c r="H76" s="29">
        <v>90</v>
      </c>
      <c r="I76" s="29" t="s">
        <v>50</v>
      </c>
      <c r="J76" s="31">
        <v>3</v>
      </c>
      <c r="K76" s="29" t="s">
        <v>363</v>
      </c>
      <c r="L76" s="29" t="s">
        <v>4</v>
      </c>
      <c r="M76" s="31" t="str">
        <f t="shared" si="16"/>
        <v>Message_NA</v>
      </c>
      <c r="N76" s="31" t="s">
        <v>473</v>
      </c>
      <c r="O76" s="29" t="str">
        <f t="shared" si="17"/>
        <v>Wrn_Warning15</v>
      </c>
      <c r="P76" s="2" t="str">
        <f t="shared" si="18"/>
        <v>WrnList_Warning15</v>
      </c>
      <c r="Q76">
        <f>IFERROR(VLOOKUP(B76,AppWarningConfig!E:K,7,FALSE),0)</f>
        <v>0</v>
      </c>
      <c r="R76" s="2">
        <f t="shared" si="24"/>
        <v>256</v>
      </c>
      <c r="S76" s="41" t="str">
        <f t="shared" si="26"/>
        <v>trigger Warning15</v>
      </c>
      <c r="T76" s="41" t="str">
        <f t="shared" si="27"/>
        <v>cancel Warning15</v>
      </c>
    </row>
    <row r="77" spans="1:20" s="29" customFormat="1">
      <c r="A77" s="16">
        <f t="shared" si="25"/>
        <v>76</v>
      </c>
      <c r="B77" s="22" t="s">
        <v>637</v>
      </c>
      <c r="C77" s="29" t="s">
        <v>6</v>
      </c>
      <c r="D77" s="30" t="s">
        <v>5</v>
      </c>
      <c r="E77" s="29" t="s">
        <v>8</v>
      </c>
      <c r="F77" s="17" t="s">
        <v>811</v>
      </c>
      <c r="G77" s="3">
        <v>3000</v>
      </c>
      <c r="H77" s="29">
        <v>90</v>
      </c>
      <c r="I77" s="29" t="s">
        <v>50</v>
      </c>
      <c r="J77" s="31">
        <v>3</v>
      </c>
      <c r="K77" s="29" t="s">
        <v>364</v>
      </c>
      <c r="L77" s="29" t="s">
        <v>4</v>
      </c>
      <c r="M77" s="31" t="str">
        <f t="shared" si="16"/>
        <v>Message_NA</v>
      </c>
      <c r="N77" s="31" t="s">
        <v>473</v>
      </c>
      <c r="O77" s="29" t="str">
        <f t="shared" si="17"/>
        <v>Wrn_Warning16</v>
      </c>
      <c r="P77" s="2" t="str">
        <f t="shared" si="18"/>
        <v>WrnList_Warning16</v>
      </c>
      <c r="Q77">
        <f>IFERROR(VLOOKUP(B77,AppWarningConfig!E:K,7,FALSE),0)</f>
        <v>0</v>
      </c>
      <c r="R77" s="2">
        <f t="shared" si="24"/>
        <v>256</v>
      </c>
      <c r="S77" s="41" t="str">
        <f t="shared" si="26"/>
        <v>trigger Warning16</v>
      </c>
      <c r="T77" s="41" t="str">
        <f t="shared" si="27"/>
        <v>cancel Warning16</v>
      </c>
    </row>
    <row r="78" spans="1:20" s="29" customFormat="1">
      <c r="A78" s="16">
        <f t="shared" si="25"/>
        <v>77</v>
      </c>
      <c r="B78" s="22" t="s">
        <v>638</v>
      </c>
      <c r="C78" s="29" t="s">
        <v>6</v>
      </c>
      <c r="D78" s="30" t="s">
        <v>5</v>
      </c>
      <c r="E78" s="29" t="s">
        <v>8</v>
      </c>
      <c r="F78" s="17" t="s">
        <v>811</v>
      </c>
      <c r="G78" s="3">
        <v>3000</v>
      </c>
      <c r="H78" s="29">
        <v>90</v>
      </c>
      <c r="I78" s="29" t="s">
        <v>50</v>
      </c>
      <c r="J78" s="31">
        <v>3</v>
      </c>
      <c r="K78" s="29" t="s">
        <v>365</v>
      </c>
      <c r="L78" s="29" t="s">
        <v>4</v>
      </c>
      <c r="M78" s="31" t="str">
        <f t="shared" si="16"/>
        <v>Message_NA</v>
      </c>
      <c r="N78" s="31" t="s">
        <v>473</v>
      </c>
      <c r="O78" s="29" t="str">
        <f t="shared" si="17"/>
        <v>Wrn_Warning17</v>
      </c>
      <c r="P78" s="2" t="str">
        <f t="shared" si="18"/>
        <v>WrnList_Warning17</v>
      </c>
      <c r="Q78">
        <f>IFERROR(VLOOKUP(B78,AppWarningConfig!E:K,7,FALSE),0)</f>
        <v>0</v>
      </c>
      <c r="R78" s="2">
        <f t="shared" si="24"/>
        <v>256</v>
      </c>
      <c r="S78" s="41" t="str">
        <f t="shared" si="26"/>
        <v>trigger Warning17</v>
      </c>
      <c r="T78" s="41" t="str">
        <f t="shared" si="27"/>
        <v>cancel Warning17</v>
      </c>
    </row>
    <row r="79" spans="1:20" s="29" customFormat="1">
      <c r="A79" s="16">
        <f t="shared" si="25"/>
        <v>78</v>
      </c>
      <c r="B79" s="22" t="s">
        <v>639</v>
      </c>
      <c r="C79" s="29" t="s">
        <v>6</v>
      </c>
      <c r="D79" s="30" t="s">
        <v>5</v>
      </c>
      <c r="E79" s="29" t="s">
        <v>8</v>
      </c>
      <c r="F79" s="17" t="s">
        <v>811</v>
      </c>
      <c r="G79" s="3">
        <v>3000</v>
      </c>
      <c r="H79" s="29">
        <v>90</v>
      </c>
      <c r="I79" s="29" t="s">
        <v>50</v>
      </c>
      <c r="J79" s="31">
        <v>3</v>
      </c>
      <c r="K79" s="29" t="s">
        <v>366</v>
      </c>
      <c r="L79" s="29" t="s">
        <v>4</v>
      </c>
      <c r="M79" s="31" t="str">
        <f t="shared" si="16"/>
        <v>Message_NA</v>
      </c>
      <c r="N79" s="31" t="s">
        <v>473</v>
      </c>
      <c r="O79" s="29" t="str">
        <f t="shared" si="17"/>
        <v>Wrn_Warning18</v>
      </c>
      <c r="P79" s="2" t="str">
        <f t="shared" si="18"/>
        <v>WrnList_Warning18</v>
      </c>
      <c r="Q79">
        <f>IFERROR(VLOOKUP(B79,AppWarningConfig!E:K,7,FALSE),0)</f>
        <v>0</v>
      </c>
      <c r="R79" s="2">
        <f t="shared" si="24"/>
        <v>256</v>
      </c>
      <c r="S79" s="41" t="str">
        <f t="shared" si="26"/>
        <v>trigger Warning18</v>
      </c>
      <c r="T79" s="41" t="str">
        <f t="shared" si="27"/>
        <v>cancel Warning18</v>
      </c>
    </row>
    <row r="80" spans="1:20" s="29" customFormat="1">
      <c r="A80" s="16">
        <f t="shared" si="25"/>
        <v>79</v>
      </c>
      <c r="B80" s="22" t="s">
        <v>640</v>
      </c>
      <c r="C80" s="29" t="s">
        <v>6</v>
      </c>
      <c r="D80" s="30" t="s">
        <v>5</v>
      </c>
      <c r="E80" s="29" t="s">
        <v>8</v>
      </c>
      <c r="F80" s="17" t="s">
        <v>811</v>
      </c>
      <c r="G80" s="3">
        <v>3000</v>
      </c>
      <c r="H80" s="29">
        <v>90</v>
      </c>
      <c r="I80" s="29" t="s">
        <v>50</v>
      </c>
      <c r="J80" s="31">
        <v>3</v>
      </c>
      <c r="K80" s="29" t="s">
        <v>367</v>
      </c>
      <c r="L80" s="29" t="s">
        <v>4</v>
      </c>
      <c r="M80" s="31" t="str">
        <f t="shared" si="16"/>
        <v>Message_NA</v>
      </c>
      <c r="N80" s="31" t="s">
        <v>473</v>
      </c>
      <c r="O80" s="29" t="str">
        <f t="shared" si="17"/>
        <v>Wrn_Warning19</v>
      </c>
      <c r="P80" s="2" t="str">
        <f t="shared" si="18"/>
        <v>WrnList_Warning19</v>
      </c>
      <c r="Q80">
        <f>IFERROR(VLOOKUP(B80,AppWarningConfig!E:K,7,FALSE),0)</f>
        <v>0</v>
      </c>
      <c r="R80" s="2">
        <f t="shared" si="24"/>
        <v>256</v>
      </c>
      <c r="S80" s="41" t="str">
        <f t="shared" si="26"/>
        <v>trigger Warning19</v>
      </c>
      <c r="T80" s="41" t="str">
        <f t="shared" si="27"/>
        <v>cancel Warning19</v>
      </c>
    </row>
    <row r="81" spans="1:20" s="29" customFormat="1">
      <c r="A81" s="16">
        <f t="shared" si="25"/>
        <v>80</v>
      </c>
      <c r="B81" s="22" t="s">
        <v>465</v>
      </c>
      <c r="C81" s="29" t="s">
        <v>6</v>
      </c>
      <c r="D81" s="30" t="s">
        <v>5</v>
      </c>
      <c r="E81" s="29" t="s">
        <v>8</v>
      </c>
      <c r="F81" s="17" t="s">
        <v>811</v>
      </c>
      <c r="G81" s="3">
        <v>3000</v>
      </c>
      <c r="H81" s="29">
        <v>90</v>
      </c>
      <c r="I81" s="29" t="s">
        <v>50</v>
      </c>
      <c r="J81" s="31">
        <v>3</v>
      </c>
      <c r="K81" s="29" t="s">
        <v>368</v>
      </c>
      <c r="L81" s="29" t="s">
        <v>4</v>
      </c>
      <c r="M81" s="31" t="str">
        <f t="shared" si="16"/>
        <v>Message_NA</v>
      </c>
      <c r="N81" s="31" t="s">
        <v>473</v>
      </c>
      <c r="O81" s="29" t="str">
        <f t="shared" si="17"/>
        <v>Wrn_Warning20</v>
      </c>
      <c r="P81" s="2" t="str">
        <f t="shared" si="18"/>
        <v>WrnList_Warning20</v>
      </c>
      <c r="Q81">
        <f>IFERROR(VLOOKUP(B81,AppWarningConfig!E:K,7,FALSE),0)</f>
        <v>0</v>
      </c>
      <c r="R81" s="2">
        <f t="shared" si="24"/>
        <v>256</v>
      </c>
      <c r="S81" s="41" t="str">
        <f t="shared" si="26"/>
        <v>trigger Warning20</v>
      </c>
      <c r="T81" s="41" t="str">
        <f t="shared" si="27"/>
        <v>cancel Warning20</v>
      </c>
    </row>
    <row r="82" spans="1:20" s="29" customFormat="1">
      <c r="A82" s="16">
        <f t="shared" si="25"/>
        <v>81</v>
      </c>
      <c r="B82" s="22" t="s">
        <v>466</v>
      </c>
      <c r="C82" s="29" t="s">
        <v>6</v>
      </c>
      <c r="D82" s="30" t="s">
        <v>5</v>
      </c>
      <c r="E82" s="29" t="s">
        <v>8</v>
      </c>
      <c r="F82" s="17" t="s">
        <v>811</v>
      </c>
      <c r="G82" s="3">
        <v>3000</v>
      </c>
      <c r="H82" s="29">
        <v>90</v>
      </c>
      <c r="I82" s="29" t="s">
        <v>50</v>
      </c>
      <c r="J82" s="31">
        <v>3</v>
      </c>
      <c r="K82" s="29" t="s">
        <v>369</v>
      </c>
      <c r="L82" s="29" t="s">
        <v>4</v>
      </c>
      <c r="M82" s="31" t="str">
        <f t="shared" si="16"/>
        <v>Message_NA</v>
      </c>
      <c r="N82" s="31" t="s">
        <v>473</v>
      </c>
      <c r="O82" s="29" t="str">
        <f t="shared" si="17"/>
        <v>Wrn_Warning21</v>
      </c>
      <c r="P82" s="2" t="str">
        <f t="shared" si="18"/>
        <v>WrnList_Warning21</v>
      </c>
      <c r="Q82">
        <f>IFERROR(VLOOKUP(B82,AppWarningConfig!E:K,7,FALSE),0)</f>
        <v>0</v>
      </c>
      <c r="R82" s="2">
        <f t="shared" si="24"/>
        <v>256</v>
      </c>
      <c r="S82" s="41" t="str">
        <f t="shared" si="26"/>
        <v>trigger Warning21</v>
      </c>
      <c r="T82" s="41" t="str">
        <f t="shared" si="27"/>
        <v>cancel Warning21</v>
      </c>
    </row>
    <row r="83" spans="1:20" s="29" customFormat="1" ht="28.5">
      <c r="A83" s="16">
        <f t="shared" si="25"/>
        <v>82</v>
      </c>
      <c r="B83" s="22" t="s">
        <v>467</v>
      </c>
      <c r="C83" s="29" t="s">
        <v>6</v>
      </c>
      <c r="D83" s="30" t="s">
        <v>5</v>
      </c>
      <c r="E83" s="29" t="s">
        <v>8</v>
      </c>
      <c r="F83" s="17" t="s">
        <v>811</v>
      </c>
      <c r="G83" s="3">
        <v>3000</v>
      </c>
      <c r="H83" s="29">
        <v>90</v>
      </c>
      <c r="I83" s="29" t="s">
        <v>50</v>
      </c>
      <c r="J83" s="31">
        <v>3</v>
      </c>
      <c r="K83" s="32" t="s">
        <v>524</v>
      </c>
      <c r="L83" s="29" t="s">
        <v>4</v>
      </c>
      <c r="M83" s="31" t="str">
        <f t="shared" si="16"/>
        <v>Message_NA</v>
      </c>
      <c r="N83" s="31" t="s">
        <v>473</v>
      </c>
      <c r="O83" s="29" t="str">
        <f t="shared" si="17"/>
        <v>Wrn_Warning22</v>
      </c>
      <c r="P83" s="2" t="str">
        <f t="shared" si="18"/>
        <v>WrnList_Warning22</v>
      </c>
      <c r="Q83">
        <f>IFERROR(VLOOKUP(B83,AppWarningConfig!E:K,7,FALSE),0)</f>
        <v>0</v>
      </c>
      <c r="R83" s="2">
        <f t="shared" si="24"/>
        <v>256</v>
      </c>
      <c r="S83" s="41" t="str">
        <f t="shared" si="26"/>
        <v>trigger Warning22</v>
      </c>
      <c r="T83" s="41" t="str">
        <f t="shared" si="27"/>
        <v>cancel Warning22</v>
      </c>
    </row>
    <row r="84" spans="1:20" s="29" customFormat="1" ht="28.5">
      <c r="A84" s="16">
        <f t="shared" si="25"/>
        <v>83</v>
      </c>
      <c r="B84" s="22" t="s">
        <v>468</v>
      </c>
      <c r="C84" s="29" t="s">
        <v>6</v>
      </c>
      <c r="D84" s="30" t="s">
        <v>5</v>
      </c>
      <c r="E84" s="29" t="s">
        <v>8</v>
      </c>
      <c r="F84" s="17" t="s">
        <v>811</v>
      </c>
      <c r="G84" s="3">
        <v>3000</v>
      </c>
      <c r="H84" s="29">
        <v>90</v>
      </c>
      <c r="I84" s="29" t="s">
        <v>50</v>
      </c>
      <c r="J84" s="31">
        <v>3</v>
      </c>
      <c r="K84" s="32" t="s">
        <v>522</v>
      </c>
      <c r="L84" s="29" t="s">
        <v>4</v>
      </c>
      <c r="M84" s="31" t="str">
        <f t="shared" si="16"/>
        <v>Message_NA</v>
      </c>
      <c r="N84" s="31" t="s">
        <v>473</v>
      </c>
      <c r="O84" s="29" t="str">
        <f t="shared" si="17"/>
        <v>Wrn_Warning23</v>
      </c>
      <c r="P84" s="2" t="str">
        <f t="shared" si="18"/>
        <v>WrnList_Warning23</v>
      </c>
      <c r="Q84">
        <f>IFERROR(VLOOKUP(B84,AppWarningConfig!E:K,7,FALSE),0)</f>
        <v>0</v>
      </c>
      <c r="R84" s="2">
        <f t="shared" si="24"/>
        <v>256</v>
      </c>
      <c r="S84" s="41" t="str">
        <f t="shared" si="26"/>
        <v>trigger Warning23</v>
      </c>
      <c r="T84" s="41" t="str">
        <f t="shared" si="27"/>
        <v>cancel Warning23</v>
      </c>
    </row>
    <row r="85" spans="1:20" s="29" customFormat="1" ht="28.5">
      <c r="A85" s="16">
        <f t="shared" si="25"/>
        <v>84</v>
      </c>
      <c r="B85" s="22" t="s">
        <v>469</v>
      </c>
      <c r="C85" s="29" t="s">
        <v>6</v>
      </c>
      <c r="D85" s="30" t="s">
        <v>5</v>
      </c>
      <c r="E85" s="29" t="s">
        <v>8</v>
      </c>
      <c r="F85" s="17" t="s">
        <v>811</v>
      </c>
      <c r="G85" s="3">
        <v>3000</v>
      </c>
      <c r="H85" s="29">
        <v>90</v>
      </c>
      <c r="I85" s="29" t="s">
        <v>50</v>
      </c>
      <c r="J85" s="31">
        <v>3</v>
      </c>
      <c r="K85" s="32" t="s">
        <v>1086</v>
      </c>
      <c r="L85" s="29" t="s">
        <v>4</v>
      </c>
      <c r="M85" s="31" t="str">
        <f t="shared" si="16"/>
        <v>Message_NA</v>
      </c>
      <c r="N85" s="31" t="s">
        <v>473</v>
      </c>
      <c r="O85" s="29" t="str">
        <f t="shared" ref="O85:O90" si="38">CONCATENATE("Wrn_",B85)</f>
        <v>Wrn_Warning24</v>
      </c>
      <c r="P85" s="2" t="str">
        <f t="shared" ref="P85:P90" si="39">CONCATENATE("WrnList_",B85)</f>
        <v>WrnList_Warning24</v>
      </c>
      <c r="Q85">
        <f>IFERROR(VLOOKUP(B85,AppWarningConfig!E:K,7,FALSE),0)</f>
        <v>0</v>
      </c>
      <c r="R85" s="2">
        <f t="shared" si="24"/>
        <v>256</v>
      </c>
      <c r="S85" s="41" t="str">
        <f t="shared" ref="S85:S90" si="40" xml:space="preserve"> CONCATENATE("trigger ",B85)</f>
        <v>trigger Warning24</v>
      </c>
      <c r="T85" s="41" t="str">
        <f t="shared" ref="T85:T90" si="41" xml:space="preserve"> CONCATENATE("cancel ",B85)</f>
        <v>cancel Warning24</v>
      </c>
    </row>
    <row r="86" spans="1:20" s="29" customFormat="1" ht="28.5">
      <c r="A86" s="16">
        <f t="shared" si="25"/>
        <v>85</v>
      </c>
      <c r="B86" s="22" t="s">
        <v>470</v>
      </c>
      <c r="C86" s="29" t="s">
        <v>6</v>
      </c>
      <c r="D86" s="30" t="s">
        <v>5</v>
      </c>
      <c r="E86" s="29" t="s">
        <v>8</v>
      </c>
      <c r="F86" s="17" t="s">
        <v>811</v>
      </c>
      <c r="G86" s="3">
        <v>3000</v>
      </c>
      <c r="H86" s="29">
        <v>90</v>
      </c>
      <c r="I86" s="29" t="s">
        <v>50</v>
      </c>
      <c r="J86" s="31">
        <v>3</v>
      </c>
      <c r="K86" s="32" t="s">
        <v>519</v>
      </c>
      <c r="L86" s="29" t="s">
        <v>4</v>
      </c>
      <c r="M86" s="31" t="str">
        <f t="shared" si="16"/>
        <v>Message_NA</v>
      </c>
      <c r="N86" s="31" t="s">
        <v>473</v>
      </c>
      <c r="O86" s="29" t="str">
        <f t="shared" si="38"/>
        <v>Wrn_Warning25</v>
      </c>
      <c r="P86" s="2" t="str">
        <f t="shared" si="39"/>
        <v>WrnList_Warning25</v>
      </c>
      <c r="Q86">
        <f>IFERROR(VLOOKUP(B86,AppWarningConfig!E:K,7,FALSE),0)</f>
        <v>0</v>
      </c>
      <c r="R86" s="2">
        <f t="shared" si="24"/>
        <v>256</v>
      </c>
      <c r="S86" s="41" t="str">
        <f t="shared" si="40"/>
        <v>trigger Warning25</v>
      </c>
      <c r="T86" s="41" t="str">
        <f t="shared" si="41"/>
        <v>cancel Warning25</v>
      </c>
    </row>
    <row r="87" spans="1:20" s="29" customFormat="1" ht="28.5">
      <c r="A87" s="16">
        <f t="shared" si="25"/>
        <v>86</v>
      </c>
      <c r="B87" s="22" t="s">
        <v>641</v>
      </c>
      <c r="C87" s="29" t="s">
        <v>6</v>
      </c>
      <c r="D87" s="30" t="s">
        <v>5</v>
      </c>
      <c r="E87" s="29" t="s">
        <v>8</v>
      </c>
      <c r="F87" s="17" t="s">
        <v>811</v>
      </c>
      <c r="G87" s="3">
        <v>3000</v>
      </c>
      <c r="H87" s="29">
        <v>90</v>
      </c>
      <c r="I87" s="29" t="s">
        <v>50</v>
      </c>
      <c r="J87" s="31">
        <v>3</v>
      </c>
      <c r="K87" s="32" t="s">
        <v>517</v>
      </c>
      <c r="L87" s="29" t="s">
        <v>4</v>
      </c>
      <c r="M87" s="31" t="str">
        <f t="shared" si="16"/>
        <v>Message_NA</v>
      </c>
      <c r="N87" s="31" t="s">
        <v>473</v>
      </c>
      <c r="O87" s="29" t="str">
        <f t="shared" si="38"/>
        <v>Wrn_Warning26</v>
      </c>
      <c r="P87" s="2" t="str">
        <f t="shared" si="39"/>
        <v>WrnList_Warning26</v>
      </c>
      <c r="Q87">
        <f>IFERROR(VLOOKUP(B87,AppWarningConfig!E:K,7,FALSE),0)</f>
        <v>0</v>
      </c>
      <c r="R87" s="2">
        <f t="shared" si="24"/>
        <v>256</v>
      </c>
      <c r="S87" s="41" t="str">
        <f t="shared" si="40"/>
        <v>trigger Warning26</v>
      </c>
      <c r="T87" s="41" t="str">
        <f t="shared" si="41"/>
        <v>cancel Warning26</v>
      </c>
    </row>
    <row r="88" spans="1:20">
      <c r="A88" s="16">
        <f t="shared" si="25"/>
        <v>87</v>
      </c>
      <c r="B88" s="23" t="s">
        <v>1582</v>
      </c>
      <c r="C88" s="2" t="s">
        <v>6</v>
      </c>
      <c r="D88" s="14" t="s">
        <v>5</v>
      </c>
      <c r="E88" s="5" t="s">
        <v>8</v>
      </c>
      <c r="F88" s="17" t="s">
        <v>811</v>
      </c>
      <c r="G88" s="3">
        <v>3000</v>
      </c>
      <c r="H88" s="2">
        <v>90</v>
      </c>
      <c r="I88" s="5" t="s">
        <v>50</v>
      </c>
      <c r="J88" s="4">
        <v>3</v>
      </c>
      <c r="K88" s="2" t="s">
        <v>1581</v>
      </c>
      <c r="L88" s="2" t="s">
        <v>4</v>
      </c>
      <c r="M88" s="4" t="str">
        <f t="shared" si="16"/>
        <v>Message_warning_icon_88</v>
      </c>
      <c r="N88" s="4" t="s">
        <v>1626</v>
      </c>
      <c r="O88" t="str">
        <f t="shared" si="38"/>
        <v>Wrn_SwitchToComfortWrn</v>
      </c>
      <c r="P88" s="2" t="str">
        <f t="shared" si="39"/>
        <v>WrnList_SwitchToComfortWrn</v>
      </c>
      <c r="Q88" t="str">
        <f>IFERROR(VLOOKUP(B88,AppWarningConfig!E:K,7,FALSE),0)</f>
        <v>AUDM_nenLCDGong</v>
      </c>
      <c r="R88" s="2">
        <f t="shared" si="24"/>
        <v>18</v>
      </c>
      <c r="S88" s="41" t="str">
        <f t="shared" si="40"/>
        <v>trigger SwitchToComfortWrn</v>
      </c>
      <c r="T88" s="41" t="str">
        <f t="shared" si="41"/>
        <v>cancel SwitchToComfortWrn</v>
      </c>
    </row>
    <row r="89" spans="1:20">
      <c r="A89" s="16">
        <f t="shared" si="25"/>
        <v>88</v>
      </c>
      <c r="B89" s="23" t="s">
        <v>1586</v>
      </c>
      <c r="C89" s="2" t="s">
        <v>6</v>
      </c>
      <c r="D89" s="14" t="s">
        <v>5</v>
      </c>
      <c r="E89" s="5" t="s">
        <v>8</v>
      </c>
      <c r="F89" s="17" t="s">
        <v>811</v>
      </c>
      <c r="G89" s="3">
        <v>3000</v>
      </c>
      <c r="H89" s="2">
        <v>90</v>
      </c>
      <c r="I89" s="5" t="s">
        <v>50</v>
      </c>
      <c r="J89" s="4">
        <v>3</v>
      </c>
      <c r="K89" s="2" t="s">
        <v>1585</v>
      </c>
      <c r="L89" s="2" t="s">
        <v>4</v>
      </c>
      <c r="M89" s="4" t="str">
        <f t="shared" si="16"/>
        <v>Message_warning_icon_87</v>
      </c>
      <c r="N89" s="4" t="s">
        <v>1625</v>
      </c>
      <c r="O89" t="str">
        <f t="shared" si="38"/>
        <v>Wrn_TCUHeatSwitchDisableWrn</v>
      </c>
      <c r="P89" s="2" t="str">
        <f t="shared" si="39"/>
        <v>WrnList_TCUHeatSwitchDisableWrn</v>
      </c>
      <c r="Q89" t="str">
        <f>IFERROR(VLOOKUP(B89,AppWarningConfig!E:K,7,FALSE),0)</f>
        <v>AUDM_nenLCDGong</v>
      </c>
      <c r="R89" s="2">
        <f t="shared" si="24"/>
        <v>18</v>
      </c>
      <c r="S89" s="41" t="str">
        <f t="shared" si="40"/>
        <v>trigger TCUHeatSwitchDisableWrn</v>
      </c>
      <c r="T89" s="41" t="str">
        <f t="shared" si="41"/>
        <v>cancel TCUHeatSwitchDisableWrn</v>
      </c>
    </row>
    <row r="90" spans="1:20">
      <c r="A90" s="16">
        <f t="shared" si="25"/>
        <v>89</v>
      </c>
      <c r="B90" s="23" t="s">
        <v>1589</v>
      </c>
      <c r="C90" s="2" t="s">
        <v>6</v>
      </c>
      <c r="D90" s="14" t="s">
        <v>5</v>
      </c>
      <c r="E90" s="5" t="s">
        <v>8</v>
      </c>
      <c r="F90" s="17" t="s">
        <v>811</v>
      </c>
      <c r="G90" s="3">
        <v>3000</v>
      </c>
      <c r="H90" s="2">
        <v>90</v>
      </c>
      <c r="I90" s="5" t="s">
        <v>50</v>
      </c>
      <c r="J90" s="4">
        <v>3</v>
      </c>
      <c r="K90" s="2" t="s">
        <v>1588</v>
      </c>
      <c r="L90" s="2" t="s">
        <v>4</v>
      </c>
      <c r="M90" s="4" t="str">
        <f t="shared" si="16"/>
        <v>Message_warning_icon_85</v>
      </c>
      <c r="N90" s="4" t="s">
        <v>1623</v>
      </c>
      <c r="O90" t="str">
        <f t="shared" si="38"/>
        <v>Wrn_TCUErrorSwitchDisableWrn</v>
      </c>
      <c r="P90" s="2" t="str">
        <f t="shared" si="39"/>
        <v>WrnList_TCUErrorSwitchDisableWrn</v>
      </c>
      <c r="Q90" t="str">
        <f>IFERROR(VLOOKUP(B90,AppWarningConfig!E:K,7,FALSE),0)</f>
        <v>AUDM_nenLCDGong</v>
      </c>
      <c r="R90" s="2">
        <f t="shared" si="24"/>
        <v>18</v>
      </c>
      <c r="S90" s="41" t="str">
        <f t="shared" si="40"/>
        <v>trigger TCUErrorSwitchDisableWrn</v>
      </c>
      <c r="T90" s="41" t="str">
        <f t="shared" si="41"/>
        <v>cancel TCUErrorSwitchDisableWrn</v>
      </c>
    </row>
    <row r="91" spans="1:20">
      <c r="A91" s="16">
        <f t="shared" si="25"/>
        <v>90</v>
      </c>
      <c r="B91" s="23" t="s">
        <v>1592</v>
      </c>
      <c r="C91" s="2" t="s">
        <v>6</v>
      </c>
      <c r="D91" s="14" t="s">
        <v>5</v>
      </c>
      <c r="E91" s="5" t="s">
        <v>8</v>
      </c>
      <c r="F91" s="17" t="s">
        <v>811</v>
      </c>
      <c r="G91" s="3">
        <v>3000</v>
      </c>
      <c r="H91" s="2">
        <v>90</v>
      </c>
      <c r="I91" s="5" t="s">
        <v>50</v>
      </c>
      <c r="J91" s="4">
        <v>3</v>
      </c>
      <c r="K91" s="2" t="s">
        <v>1591</v>
      </c>
      <c r="L91" s="2" t="s">
        <v>4</v>
      </c>
      <c r="M91" s="4" t="str">
        <f t="shared" si="15"/>
        <v>Message_warning_icon_86</v>
      </c>
      <c r="N91" s="4" t="s">
        <v>1624</v>
      </c>
      <c r="O91" t="str">
        <f t="shared" si="17"/>
        <v>Wrn_HighlandSwitchDisableWrn</v>
      </c>
      <c r="P91" s="2" t="str">
        <f t="shared" si="18"/>
        <v>WrnList_HighlandSwitchDisableWrn</v>
      </c>
      <c r="Q91" t="str">
        <f>IFERROR(VLOOKUP(B91,AppWarningConfig!E:K,7,FALSE),0)</f>
        <v>AUDM_nenLCDGong</v>
      </c>
      <c r="R91" s="2">
        <f t="shared" si="24"/>
        <v>18</v>
      </c>
      <c r="S91" s="41" t="str">
        <f t="shared" si="26"/>
        <v>trigger HighlandSwitchDisableWrn</v>
      </c>
      <c r="T91" s="41" t="str">
        <f t="shared" si="27"/>
        <v>cancel HighlandSwitchDisableWrn</v>
      </c>
    </row>
    <row r="92" spans="1:20">
      <c r="A92" s="16">
        <f t="shared" si="25"/>
        <v>91</v>
      </c>
      <c r="B92" s="23" t="s">
        <v>1595</v>
      </c>
      <c r="C92" s="2" t="s">
        <v>6</v>
      </c>
      <c r="D92" s="14" t="s">
        <v>5</v>
      </c>
      <c r="E92" s="5" t="s">
        <v>8</v>
      </c>
      <c r="F92" s="17" t="s">
        <v>811</v>
      </c>
      <c r="G92" s="3">
        <v>3000</v>
      </c>
      <c r="H92" s="2">
        <v>90</v>
      </c>
      <c r="I92" s="5" t="s">
        <v>50</v>
      </c>
      <c r="J92" s="4">
        <v>3</v>
      </c>
      <c r="K92" s="2" t="s">
        <v>1594</v>
      </c>
      <c r="L92" s="2" t="s">
        <v>4</v>
      </c>
      <c r="M92" s="4" t="str">
        <f t="shared" si="15"/>
        <v>Message_warning_icon_89</v>
      </c>
      <c r="N92" s="4" t="s">
        <v>1627</v>
      </c>
      <c r="O92" t="str">
        <f t="shared" si="17"/>
        <v>Wrn_SlipSwitchDisableWrn</v>
      </c>
      <c r="P92" s="2" t="str">
        <f t="shared" si="18"/>
        <v>WrnList_SlipSwitchDisableWrn</v>
      </c>
      <c r="Q92" t="str">
        <f>IFERROR(VLOOKUP(B92,AppWarningConfig!E:K,7,FALSE),0)</f>
        <v>AUDM_nenLCDGong</v>
      </c>
      <c r="R92" s="2">
        <f t="shared" si="24"/>
        <v>18</v>
      </c>
      <c r="S92" s="41" t="str">
        <f t="shared" si="26"/>
        <v>trigger SlipSwitchDisableWrn</v>
      </c>
      <c r="T92" s="41" t="str">
        <f t="shared" si="27"/>
        <v>cancel SlipSwitchDisableWrn</v>
      </c>
    </row>
    <row r="93" spans="1:20">
      <c r="A93" s="16">
        <f t="shared" si="25"/>
        <v>92</v>
      </c>
      <c r="B93" s="23" t="s">
        <v>1599</v>
      </c>
      <c r="C93" s="2" t="s">
        <v>6</v>
      </c>
      <c r="D93" s="14" t="s">
        <v>5</v>
      </c>
      <c r="E93" s="5" t="s">
        <v>8</v>
      </c>
      <c r="F93" s="17" t="s">
        <v>811</v>
      </c>
      <c r="G93" s="3">
        <v>3000</v>
      </c>
      <c r="H93" s="2">
        <v>90</v>
      </c>
      <c r="I93" s="5" t="s">
        <v>50</v>
      </c>
      <c r="J93" s="4">
        <v>3</v>
      </c>
      <c r="K93" s="2" t="s">
        <v>1598</v>
      </c>
      <c r="L93" s="2" t="s">
        <v>4</v>
      </c>
      <c r="M93" s="4" t="str">
        <f t="shared" si="15"/>
        <v>Message_warning_icon_84</v>
      </c>
      <c r="N93" s="4" t="s">
        <v>1622</v>
      </c>
      <c r="O93" t="str">
        <f t="shared" si="17"/>
        <v>Wrn_EPSSwitchDisableWrn</v>
      </c>
      <c r="P93" s="2" t="str">
        <f t="shared" si="18"/>
        <v>WrnList_EPSSwitchDisableWrn</v>
      </c>
      <c r="Q93" t="str">
        <f>IFERROR(VLOOKUP(B93,AppWarningConfig!E:K,7,FALSE),0)</f>
        <v>AUDM_nenLCDGong</v>
      </c>
      <c r="R93" s="2">
        <f t="shared" si="24"/>
        <v>18</v>
      </c>
      <c r="S93" s="41" t="str">
        <f t="shared" si="26"/>
        <v>trigger EPSSwitchDisableWrn</v>
      </c>
      <c r="T93" s="41" t="str">
        <f t="shared" si="27"/>
        <v>cancel EPSSwitchDisableWrn</v>
      </c>
    </row>
    <row r="94" spans="1:20">
      <c r="A94" s="16">
        <f t="shared" si="25"/>
        <v>93</v>
      </c>
      <c r="B94" s="23" t="s">
        <v>371</v>
      </c>
      <c r="C94" s="2" t="s">
        <v>6</v>
      </c>
      <c r="D94" s="14" t="s">
        <v>5</v>
      </c>
      <c r="E94" s="5" t="s">
        <v>8</v>
      </c>
      <c r="F94" s="17" t="s">
        <v>811</v>
      </c>
      <c r="G94" s="3">
        <v>3000</v>
      </c>
      <c r="H94" s="2">
        <v>90</v>
      </c>
      <c r="I94" s="5" t="s">
        <v>50</v>
      </c>
      <c r="J94" s="4">
        <v>3</v>
      </c>
      <c r="K94" s="2" t="s">
        <v>370</v>
      </c>
      <c r="L94" s="2" t="s">
        <v>4</v>
      </c>
      <c r="M94" s="4" t="str">
        <f t="shared" si="15"/>
        <v>Message_warning_icon_10</v>
      </c>
      <c r="N94" s="4" t="s">
        <v>651</v>
      </c>
      <c r="O94" t="str">
        <f t="shared" si="17"/>
        <v>Wrn_AutoHoldEnableWrn</v>
      </c>
      <c r="P94" s="2" t="str">
        <f t="shared" si="18"/>
        <v>WrnList_AutoHoldEnableWrn</v>
      </c>
      <c r="Q94" t="str">
        <f>IFERROR(VLOOKUP(B94,AppWarningConfig!E:K,7,FALSE),0)</f>
        <v>AUDM_nenLCDGong</v>
      </c>
      <c r="R94" s="2">
        <f t="shared" si="24"/>
        <v>18</v>
      </c>
      <c r="S94" s="41" t="str">
        <f t="shared" si="26"/>
        <v>trigger AutoHoldEnableWrn</v>
      </c>
      <c r="T94" s="41" t="str">
        <f t="shared" si="27"/>
        <v>cancel AutoHoldEnableWrn</v>
      </c>
    </row>
    <row r="95" spans="1:20">
      <c r="A95" s="16">
        <f t="shared" si="25"/>
        <v>94</v>
      </c>
      <c r="B95" s="23" t="s">
        <v>373</v>
      </c>
      <c r="C95" s="2" t="s">
        <v>6</v>
      </c>
      <c r="D95" s="14" t="s">
        <v>5</v>
      </c>
      <c r="E95" s="5" t="s">
        <v>8</v>
      </c>
      <c r="F95" s="17" t="s">
        <v>811</v>
      </c>
      <c r="G95" s="3">
        <v>3000</v>
      </c>
      <c r="H95" s="2">
        <v>90</v>
      </c>
      <c r="I95" s="5" t="s">
        <v>50</v>
      </c>
      <c r="J95" s="4">
        <v>3</v>
      </c>
      <c r="K95" s="2" t="s">
        <v>372</v>
      </c>
      <c r="L95" s="2" t="s">
        <v>4</v>
      </c>
      <c r="M95" s="4" t="str">
        <f t="shared" si="15"/>
        <v>Message_warning_icon_20</v>
      </c>
      <c r="N95" s="4" t="s">
        <v>652</v>
      </c>
      <c r="O95" t="str">
        <f t="shared" si="17"/>
        <v>Wrn_HDCPreparingWrn</v>
      </c>
      <c r="P95" s="2" t="str">
        <f t="shared" si="18"/>
        <v>WrnList_HDCPreparingWrn</v>
      </c>
      <c r="Q95" t="str">
        <f>IFERROR(VLOOKUP(B95,AppWarningConfig!E:K,7,FALSE),0)</f>
        <v>AUDM_nenLCDGong</v>
      </c>
      <c r="R95" s="2">
        <f t="shared" si="24"/>
        <v>18</v>
      </c>
      <c r="S95" s="41" t="str">
        <f t="shared" si="26"/>
        <v>trigger HDCPreparingWrn</v>
      </c>
      <c r="T95" s="41" t="str">
        <f t="shared" si="27"/>
        <v>cancel HDCPreparingWrn</v>
      </c>
    </row>
    <row r="96" spans="1:20">
      <c r="A96" s="16">
        <f t="shared" si="25"/>
        <v>95</v>
      </c>
      <c r="B96" s="23" t="s">
        <v>375</v>
      </c>
      <c r="C96" s="2" t="s">
        <v>6</v>
      </c>
      <c r="D96" s="14" t="s">
        <v>5</v>
      </c>
      <c r="E96" s="5" t="s">
        <v>8</v>
      </c>
      <c r="F96" s="17" t="s">
        <v>811</v>
      </c>
      <c r="G96" s="3">
        <v>3000</v>
      </c>
      <c r="H96" s="2">
        <v>90</v>
      </c>
      <c r="I96" s="5" t="s">
        <v>50</v>
      </c>
      <c r="J96" s="4">
        <v>3</v>
      </c>
      <c r="K96" s="2" t="s">
        <v>374</v>
      </c>
      <c r="L96" s="2" t="s">
        <v>4</v>
      </c>
      <c r="M96" s="4" t="str">
        <f t="shared" ref="M96:M101" si="42">CONCATENATE("Message_",N96)</f>
        <v>Message_warning_icon_48</v>
      </c>
      <c r="N96" s="4" t="s">
        <v>1651</v>
      </c>
      <c r="O96" t="str">
        <f t="shared" si="17"/>
        <v>Wrn_HDCActiveWrn</v>
      </c>
      <c r="P96" s="2" t="str">
        <f t="shared" si="18"/>
        <v>WrnList_HDCActiveWrn</v>
      </c>
      <c r="Q96" t="str">
        <f>IFERROR(VLOOKUP(B96,AppWarningConfig!E:K,7,FALSE),0)</f>
        <v>AUDM_nenLCDGong</v>
      </c>
      <c r="R96" s="2">
        <f t="shared" si="24"/>
        <v>18</v>
      </c>
      <c r="S96" s="41" t="str">
        <f t="shared" si="26"/>
        <v>trigger HDCActiveWrn</v>
      </c>
      <c r="T96" s="41" t="str">
        <f t="shared" si="27"/>
        <v>cancel HDCActiveWrn</v>
      </c>
    </row>
    <row r="97" spans="1:20">
      <c r="A97" s="16">
        <f t="shared" si="25"/>
        <v>96</v>
      </c>
      <c r="B97" s="23" t="s">
        <v>377</v>
      </c>
      <c r="C97" s="2" t="s">
        <v>6</v>
      </c>
      <c r="D97" s="14" t="s">
        <v>5</v>
      </c>
      <c r="E97" s="5" t="s">
        <v>8</v>
      </c>
      <c r="F97" s="17" t="s">
        <v>811</v>
      </c>
      <c r="G97" s="3">
        <v>3000</v>
      </c>
      <c r="H97" s="2">
        <v>90</v>
      </c>
      <c r="I97" s="5" t="s">
        <v>50</v>
      </c>
      <c r="J97" s="4">
        <v>3</v>
      </c>
      <c r="K97" s="2" t="s">
        <v>376</v>
      </c>
      <c r="L97" s="2" t="s">
        <v>4</v>
      </c>
      <c r="M97" s="4" t="str">
        <f t="shared" si="42"/>
        <v>Message_warning_icon_19</v>
      </c>
      <c r="N97" s="4" t="s">
        <v>653</v>
      </c>
      <c r="O97" t="str">
        <f t="shared" si="17"/>
        <v>Wrn_HDCOffWrn</v>
      </c>
      <c r="P97" s="2" t="str">
        <f t="shared" si="18"/>
        <v>WrnList_HDCOffWrn</v>
      </c>
      <c r="Q97" t="str">
        <f>IFERROR(VLOOKUP(B97,AppWarningConfig!E:K,7,FALSE),0)</f>
        <v>AUDM_nenLCDGong</v>
      </c>
      <c r="R97" s="2">
        <f t="shared" si="24"/>
        <v>18</v>
      </c>
      <c r="S97" s="41" t="str">
        <f t="shared" si="26"/>
        <v>trigger HDCOffWrn</v>
      </c>
      <c r="T97" s="41" t="str">
        <f t="shared" si="27"/>
        <v>cancel HDCOffWrn</v>
      </c>
    </row>
    <row r="98" spans="1:20">
      <c r="A98" s="16">
        <f t="shared" si="25"/>
        <v>97</v>
      </c>
      <c r="B98" s="23" t="s">
        <v>379</v>
      </c>
      <c r="C98" s="2" t="s">
        <v>6</v>
      </c>
      <c r="D98" s="14" t="s">
        <v>5</v>
      </c>
      <c r="E98" s="5" t="s">
        <v>8</v>
      </c>
      <c r="F98" s="17" t="s">
        <v>811</v>
      </c>
      <c r="G98" s="3">
        <v>3000</v>
      </c>
      <c r="H98" s="2">
        <v>90</v>
      </c>
      <c r="I98" s="5" t="s">
        <v>50</v>
      </c>
      <c r="J98" s="4">
        <v>3</v>
      </c>
      <c r="K98" s="2" t="s">
        <v>378</v>
      </c>
      <c r="L98" s="2" t="s">
        <v>4</v>
      </c>
      <c r="M98" s="4" t="str">
        <f t="shared" si="42"/>
        <v>Message_warning_icon_34</v>
      </c>
      <c r="N98" s="4" t="s">
        <v>654</v>
      </c>
      <c r="O98" t="str">
        <f t="shared" si="17"/>
        <v>Wrn_ESCOffWrn</v>
      </c>
      <c r="P98" s="2" t="str">
        <f t="shared" si="18"/>
        <v>WrnList_ESCOffWrn</v>
      </c>
      <c r="Q98" t="str">
        <f>IFERROR(VLOOKUP(B98,AppWarningConfig!E:K,7,FALSE),0)</f>
        <v>AUDM_nenLCDGong</v>
      </c>
      <c r="R98" s="2">
        <f t="shared" ref="R98:R129" si="43">IFERROR(VLOOKUP(Q98,V:AW,2,FALSE),256)</f>
        <v>18</v>
      </c>
      <c r="S98" s="41" t="str">
        <f t="shared" si="26"/>
        <v>trigger ESCOffWrn</v>
      </c>
      <c r="T98" s="41" t="str">
        <f t="shared" si="27"/>
        <v>cancel ESCOffWrn</v>
      </c>
    </row>
    <row r="99" spans="1:20">
      <c r="A99" s="16">
        <f t="shared" si="25"/>
        <v>98</v>
      </c>
      <c r="B99" s="102" t="s">
        <v>380</v>
      </c>
      <c r="C99" s="2" t="s">
        <v>6</v>
      </c>
      <c r="D99" s="14" t="s">
        <v>5</v>
      </c>
      <c r="E99" s="5" t="s">
        <v>8</v>
      </c>
      <c r="F99" s="17" t="s">
        <v>811</v>
      </c>
      <c r="G99" s="3">
        <v>3000</v>
      </c>
      <c r="H99" s="2">
        <v>80</v>
      </c>
      <c r="I99" s="5" t="s">
        <v>50</v>
      </c>
      <c r="J99" s="4">
        <v>3</v>
      </c>
      <c r="K99" s="33" t="s">
        <v>743</v>
      </c>
      <c r="L99" s="2" t="s">
        <v>4</v>
      </c>
      <c r="M99" s="4" t="str">
        <f t="shared" si="42"/>
        <v>Message_warning_icon_56</v>
      </c>
      <c r="N99" s="4" t="s">
        <v>655</v>
      </c>
      <c r="O99" t="str">
        <f t="shared" si="17"/>
        <v>Wrn_MaintainRemindWrn</v>
      </c>
      <c r="P99" s="2" t="str">
        <f t="shared" si="18"/>
        <v>WrnList_MaintainRemindWrn</v>
      </c>
      <c r="Q99" t="str">
        <f>IFERROR(VLOOKUP(B99,AppWarningConfig!E:K,7,FALSE),0)</f>
        <v>AUDM_nenLCDGong</v>
      </c>
      <c r="R99" s="2">
        <f t="shared" si="43"/>
        <v>18</v>
      </c>
      <c r="S99" s="41" t="str">
        <f t="shared" si="26"/>
        <v>trigger MaintainRemindWrn</v>
      </c>
      <c r="T99" s="41" t="str">
        <f t="shared" si="27"/>
        <v>cancel MaintainRemindWrn</v>
      </c>
    </row>
    <row r="100" spans="1:20">
      <c r="A100" s="16">
        <f t="shared" si="25"/>
        <v>99</v>
      </c>
      <c r="B100" s="102" t="s">
        <v>1673</v>
      </c>
      <c r="C100" s="2" t="s">
        <v>6</v>
      </c>
      <c r="D100" s="14" t="s">
        <v>5</v>
      </c>
      <c r="E100" s="5" t="s">
        <v>8</v>
      </c>
      <c r="F100" s="17" t="s">
        <v>811</v>
      </c>
      <c r="G100" s="3">
        <v>3000</v>
      </c>
      <c r="H100" s="2">
        <v>80</v>
      </c>
      <c r="I100" s="5" t="s">
        <v>50</v>
      </c>
      <c r="J100" s="4">
        <v>3</v>
      </c>
      <c r="K100" s="24" t="s">
        <v>633</v>
      </c>
      <c r="L100" s="2" t="s">
        <v>4</v>
      </c>
      <c r="M100" s="4" t="str">
        <f t="shared" si="42"/>
        <v>Message_warning_icon_56</v>
      </c>
      <c r="N100" s="4" t="s">
        <v>655</v>
      </c>
      <c r="O100" t="str">
        <f t="shared" si="17"/>
        <v>Wrn_MaintainVehicleWrn</v>
      </c>
      <c r="P100" s="2" t="str">
        <f t="shared" si="18"/>
        <v>WrnList_MaintainVehicleWrn</v>
      </c>
      <c r="Q100" t="str">
        <f>IFERROR(VLOOKUP(B100,AppWarningConfig!E:K,7,FALSE),0)</f>
        <v>AUDM_nenLCDGong</v>
      </c>
      <c r="R100" s="2">
        <f t="shared" si="43"/>
        <v>18</v>
      </c>
      <c r="S100" s="41" t="str">
        <f t="shared" si="26"/>
        <v>trigger MaintainVehicleWrn</v>
      </c>
      <c r="T100" s="41" t="str">
        <f t="shared" si="27"/>
        <v>cancel MaintainVehicleWrn</v>
      </c>
    </row>
    <row r="101" spans="1:20">
      <c r="A101" s="16">
        <f t="shared" si="25"/>
        <v>100</v>
      </c>
      <c r="B101" s="23" t="s">
        <v>381</v>
      </c>
      <c r="C101" s="2" t="s">
        <v>6</v>
      </c>
      <c r="D101" s="14" t="s">
        <v>5</v>
      </c>
      <c r="E101" s="5" t="s">
        <v>8</v>
      </c>
      <c r="F101" s="17" t="s">
        <v>811</v>
      </c>
      <c r="G101" s="3">
        <v>3000</v>
      </c>
      <c r="H101" s="2">
        <v>70</v>
      </c>
      <c r="I101" s="5" t="s">
        <v>50</v>
      </c>
      <c r="J101" s="4">
        <v>3</v>
      </c>
      <c r="K101" s="2" t="s">
        <v>282</v>
      </c>
      <c r="L101" s="2" t="s">
        <v>4</v>
      </c>
      <c r="M101" s="4" t="str">
        <f t="shared" si="42"/>
        <v>Message_warning_icon_77</v>
      </c>
      <c r="N101" s="4" t="s">
        <v>1633</v>
      </c>
      <c r="O101" t="str">
        <f t="shared" si="17"/>
        <v>Wrn_PassAirbagClosedWrn</v>
      </c>
      <c r="P101" s="2" t="str">
        <f t="shared" si="18"/>
        <v>WrnList_PassAirbagClosedWrn</v>
      </c>
      <c r="Q101" t="str">
        <f>IFERROR(VLOOKUP(B101,AppWarningConfig!E:K,7,FALSE),0)</f>
        <v>AUDM_nenLCDGong</v>
      </c>
      <c r="R101" s="2">
        <f t="shared" si="43"/>
        <v>18</v>
      </c>
      <c r="S101" s="41" t="str">
        <f t="shared" si="26"/>
        <v>trigger PassAirbagClosedWrn</v>
      </c>
      <c r="T101" s="41" t="str">
        <f t="shared" si="27"/>
        <v>cancel PassAirbagClosedWrn</v>
      </c>
    </row>
    <row r="102" spans="1:20">
      <c r="A102" s="16">
        <f t="shared" si="25"/>
        <v>101</v>
      </c>
      <c r="B102" s="23" t="s">
        <v>383</v>
      </c>
      <c r="C102" s="2" t="s">
        <v>6</v>
      </c>
      <c r="D102" s="14" t="s">
        <v>5</v>
      </c>
      <c r="E102" s="5" t="s">
        <v>8</v>
      </c>
      <c r="F102" s="17" t="s">
        <v>811</v>
      </c>
      <c r="G102" s="3">
        <v>3000</v>
      </c>
      <c r="H102" s="2">
        <v>60</v>
      </c>
      <c r="I102" s="5" t="s">
        <v>50</v>
      </c>
      <c r="J102" s="4">
        <v>3</v>
      </c>
      <c r="K102" s="2" t="s">
        <v>478</v>
      </c>
      <c r="L102" s="2" t="s">
        <v>4</v>
      </c>
      <c r="M102" s="4" t="str">
        <f t="shared" ref="M102:M144" si="44">CONCATENATE("Message_",N102)</f>
        <v>Message_warning_icon_4</v>
      </c>
      <c r="N102" s="4" t="s">
        <v>650</v>
      </c>
      <c r="O102" t="str">
        <f t="shared" si="17"/>
        <v>Wrn_FuelLowWrn</v>
      </c>
      <c r="P102" s="2" t="str">
        <f t="shared" si="18"/>
        <v>WrnList_FuelLowWrn</v>
      </c>
      <c r="Q102" t="str">
        <f>IFERROR(VLOOKUP(B102,AppWarningConfig!E:K,7,FALSE),0)</f>
        <v>AUDM_nenLCDGong</v>
      </c>
      <c r="R102" s="2">
        <f t="shared" si="43"/>
        <v>18</v>
      </c>
      <c r="S102" s="41" t="str">
        <f t="shared" si="26"/>
        <v>trigger FuelLowWrn</v>
      </c>
      <c r="T102" s="41" t="str">
        <f t="shared" si="27"/>
        <v>cancel FuelLowWrn</v>
      </c>
    </row>
    <row r="103" spans="1:20">
      <c r="A103" s="16">
        <f t="shared" si="25"/>
        <v>102</v>
      </c>
      <c r="B103" s="47" t="s">
        <v>385</v>
      </c>
      <c r="C103" s="2" t="s">
        <v>6</v>
      </c>
      <c r="D103" s="14" t="s">
        <v>5</v>
      </c>
      <c r="E103" s="5" t="s">
        <v>8</v>
      </c>
      <c r="F103" s="17" t="s">
        <v>811</v>
      </c>
      <c r="G103" s="3">
        <v>3000</v>
      </c>
      <c r="H103" s="2">
        <v>50</v>
      </c>
      <c r="I103" s="5" t="s">
        <v>50</v>
      </c>
      <c r="J103" s="4">
        <v>3</v>
      </c>
      <c r="K103" s="2" t="s">
        <v>597</v>
      </c>
      <c r="L103" s="2" t="s">
        <v>4</v>
      </c>
      <c r="M103" s="4" t="str">
        <f t="shared" si="44"/>
        <v>Message_warning_icon_1</v>
      </c>
      <c r="N103" s="4" t="s">
        <v>657</v>
      </c>
      <c r="O103" t="str">
        <f t="shared" si="17"/>
        <v>Wrn_TiredRemindWrn</v>
      </c>
      <c r="P103" s="2" t="str">
        <f t="shared" si="18"/>
        <v>WrnList_TiredRemindWrn</v>
      </c>
      <c r="Q103" t="str">
        <f>IFERROR(VLOOKUP(B103,AppWarningConfig!E:K,7,FALSE),0)</f>
        <v>AUDM_nenLCDGong</v>
      </c>
      <c r="R103" s="2">
        <f t="shared" si="43"/>
        <v>18</v>
      </c>
      <c r="S103" s="41" t="str">
        <f t="shared" si="26"/>
        <v>trigger TiredRemindWrn</v>
      </c>
      <c r="T103" s="41" t="str">
        <f t="shared" si="27"/>
        <v>cancel TiredRemindWrn</v>
      </c>
    </row>
    <row r="104" spans="1:20">
      <c r="A104" s="16">
        <f t="shared" si="25"/>
        <v>103</v>
      </c>
      <c r="B104" s="44" t="s">
        <v>1022</v>
      </c>
      <c r="C104" s="2" t="s">
        <v>6</v>
      </c>
      <c r="D104" s="14" t="s">
        <v>5</v>
      </c>
      <c r="E104" s="5" t="s">
        <v>8</v>
      </c>
      <c r="F104" s="17" t="s">
        <v>811</v>
      </c>
      <c r="G104" s="3">
        <v>3000</v>
      </c>
      <c r="H104" s="2">
        <v>40</v>
      </c>
      <c r="I104" s="5" t="s">
        <v>50</v>
      </c>
      <c r="J104" s="4">
        <v>3</v>
      </c>
      <c r="K104" s="2" t="s">
        <v>1020</v>
      </c>
      <c r="L104" s="2" t="s">
        <v>4</v>
      </c>
      <c r="M104" s="4" t="str">
        <f t="shared" ref="M104" si="45">CONCATENATE("Message_",N104)</f>
        <v>Message_warning_icon_71</v>
      </c>
      <c r="N104" s="4" t="s">
        <v>1536</v>
      </c>
      <c r="O104" t="str">
        <f t="shared" ref="O104" si="46">CONCATENATE("Wrn_",B104)</f>
        <v>Wrn_ESPModeSwitchFail</v>
      </c>
      <c r="P104" s="2" t="str">
        <f t="shared" ref="P104" si="47">CONCATENATE("WrnList_",B104)</f>
        <v>WrnList_ESPModeSwitchFail</v>
      </c>
      <c r="Q104" t="str">
        <f>IFERROR(VLOOKUP(B104,AppWarningConfig!E:K,7,FALSE),0)</f>
        <v>AUDM_nenLCDGong</v>
      </c>
      <c r="R104" s="2">
        <f t="shared" si="43"/>
        <v>18</v>
      </c>
      <c r="S104" s="41" t="str">
        <f t="shared" ref="S104" si="48" xml:space="preserve"> CONCATENATE("trigger ",B104)</f>
        <v>trigger ESPModeSwitchFail</v>
      </c>
      <c r="T104" s="41" t="str">
        <f t="shared" ref="T104" si="49" xml:space="preserve"> CONCATENATE("cancel ",B104)</f>
        <v>cancel ESPModeSwitchFail</v>
      </c>
    </row>
    <row r="105" spans="1:20">
      <c r="A105" s="16">
        <f t="shared" si="25"/>
        <v>104</v>
      </c>
      <c r="B105" s="23" t="s">
        <v>309</v>
      </c>
      <c r="C105" s="2" t="s">
        <v>46</v>
      </c>
      <c r="D105" s="14" t="s">
        <v>15</v>
      </c>
      <c r="E105" s="5" t="s">
        <v>813</v>
      </c>
      <c r="F105" s="17" t="s">
        <v>814</v>
      </c>
      <c r="G105" s="3">
        <v>2000</v>
      </c>
      <c r="H105" s="2">
        <v>90</v>
      </c>
      <c r="I105" s="5" t="s">
        <v>816</v>
      </c>
      <c r="J105" s="4">
        <v>3</v>
      </c>
      <c r="K105" s="2" t="s">
        <v>484</v>
      </c>
      <c r="L105" s="2" t="s">
        <v>4</v>
      </c>
      <c r="M105" s="4" t="str">
        <f t="shared" si="44"/>
        <v>Message_warning_icon_28</v>
      </c>
      <c r="N105" s="4" t="s">
        <v>659</v>
      </c>
      <c r="O105" t="str">
        <f t="shared" si="17"/>
        <v>Wrn_ESCLUnlockFailWrn</v>
      </c>
      <c r="P105" s="2" t="str">
        <f t="shared" si="18"/>
        <v>WrnList_ESCLUnlockFailWrn</v>
      </c>
      <c r="Q105" t="str">
        <f>IFERROR(VLOOKUP(B105,AppWarningConfig!E:K,7,FALSE),0)</f>
        <v>AUDM_nenLCDGong</v>
      </c>
      <c r="R105" s="2">
        <f t="shared" si="43"/>
        <v>18</v>
      </c>
      <c r="S105" s="41" t="str">
        <f t="shared" si="26"/>
        <v>trigger ESCLUnlockFailWrn</v>
      </c>
      <c r="T105" s="41" t="str">
        <f t="shared" si="27"/>
        <v>cancel ESCLUnlockFailWrn</v>
      </c>
    </row>
    <row r="106" spans="1:20">
      <c r="A106" s="16">
        <f t="shared" si="25"/>
        <v>105</v>
      </c>
      <c r="B106" s="23" t="s">
        <v>311</v>
      </c>
      <c r="C106" s="2" t="s">
        <v>46</v>
      </c>
      <c r="D106" s="14" t="s">
        <v>15</v>
      </c>
      <c r="E106" s="5" t="s">
        <v>813</v>
      </c>
      <c r="F106" s="17" t="s">
        <v>814</v>
      </c>
      <c r="G106" s="3">
        <v>2000</v>
      </c>
      <c r="H106" s="2">
        <v>90</v>
      </c>
      <c r="I106" s="5" t="s">
        <v>816</v>
      </c>
      <c r="J106" s="4">
        <v>3</v>
      </c>
      <c r="K106" s="2" t="s">
        <v>479</v>
      </c>
      <c r="L106" s="2" t="s">
        <v>4</v>
      </c>
      <c r="M106" s="4" t="str">
        <f t="shared" si="44"/>
        <v>Message_warning_icon_29</v>
      </c>
      <c r="N106" s="4" t="s">
        <v>660</v>
      </c>
      <c r="O106" t="str">
        <f t="shared" si="17"/>
        <v>Wrn_ESCLLockFailWrn</v>
      </c>
      <c r="P106" s="2" t="str">
        <f t="shared" si="18"/>
        <v>WrnList_ESCLLockFailWrn</v>
      </c>
      <c r="Q106" t="str">
        <f>IFERROR(VLOOKUP(B106,AppWarningConfig!E:K,7,FALSE),0)</f>
        <v>AUDM_nenLCDGong</v>
      </c>
      <c r="R106" s="2">
        <f t="shared" si="43"/>
        <v>18</v>
      </c>
      <c r="S106" s="41" t="str">
        <f t="shared" si="26"/>
        <v>trigger ESCLLockFailWrn</v>
      </c>
      <c r="T106" s="41" t="str">
        <f t="shared" si="27"/>
        <v>cancel ESCLLockFailWrn</v>
      </c>
    </row>
    <row r="107" spans="1:20">
      <c r="A107" s="16">
        <f t="shared" si="25"/>
        <v>106</v>
      </c>
      <c r="B107" s="23" t="s">
        <v>313</v>
      </c>
      <c r="C107" s="2" t="s">
        <v>46</v>
      </c>
      <c r="D107" s="14" t="s">
        <v>15</v>
      </c>
      <c r="E107" s="5" t="s">
        <v>813</v>
      </c>
      <c r="F107" s="17" t="s">
        <v>814</v>
      </c>
      <c r="G107" s="3">
        <v>2000</v>
      </c>
      <c r="H107" s="2">
        <v>90</v>
      </c>
      <c r="I107" s="5" t="s">
        <v>816</v>
      </c>
      <c r="J107" s="4">
        <v>3</v>
      </c>
      <c r="K107" s="2" t="s">
        <v>474</v>
      </c>
      <c r="L107" s="2" t="s">
        <v>4</v>
      </c>
      <c r="M107" s="4" t="str">
        <f t="shared" ref="M107:M137" si="50">CONCATENATE("Message_",N107)</f>
        <v>Message_warning_icon_9</v>
      </c>
      <c r="N107" s="4" t="s">
        <v>658</v>
      </c>
      <c r="O107" t="str">
        <f t="shared" si="17"/>
        <v>Wrn_ESCLAuthFailWrn</v>
      </c>
      <c r="P107" s="2" t="str">
        <f t="shared" si="18"/>
        <v>WrnList_ESCLAuthFailWrn</v>
      </c>
      <c r="Q107" t="str">
        <f>IFERROR(VLOOKUP(B107,AppWarningConfig!E:K,7,FALSE),0)</f>
        <v>AUDM_nenLCDGong</v>
      </c>
      <c r="R107" s="2">
        <f t="shared" si="43"/>
        <v>18</v>
      </c>
      <c r="S107" s="41" t="str">
        <f t="shared" si="26"/>
        <v>trigger ESCLAuthFailWrn</v>
      </c>
      <c r="T107" s="41" t="str">
        <f t="shared" si="27"/>
        <v>cancel ESCLAuthFailWrn</v>
      </c>
    </row>
    <row r="108" spans="1:20">
      <c r="A108" s="16">
        <f t="shared" si="25"/>
        <v>107</v>
      </c>
      <c r="B108" s="47" t="s">
        <v>307</v>
      </c>
      <c r="C108" s="2" t="s">
        <v>46</v>
      </c>
      <c r="D108" s="14" t="s">
        <v>15</v>
      </c>
      <c r="E108" s="5" t="s">
        <v>813</v>
      </c>
      <c r="F108" s="17" t="s">
        <v>814</v>
      </c>
      <c r="G108" s="3">
        <v>2000</v>
      </c>
      <c r="H108" s="2">
        <v>90</v>
      </c>
      <c r="I108" s="5" t="s">
        <v>816</v>
      </c>
      <c r="J108" s="4">
        <v>3</v>
      </c>
      <c r="K108" s="24" t="s">
        <v>483</v>
      </c>
      <c r="L108" s="2" t="s">
        <v>4</v>
      </c>
      <c r="M108" s="4" t="str">
        <f t="shared" ref="M108" si="51">CONCATENATE("Message_",N108)</f>
        <v>Message_warning_icon_30</v>
      </c>
      <c r="N108" s="4" t="s">
        <v>694</v>
      </c>
      <c r="O108" t="str">
        <f t="shared" ref="O108" si="52">CONCATENATE("Wrn_",B108)</f>
        <v>Wrn_ESCLSysErrorWrn</v>
      </c>
      <c r="P108" s="2" t="str">
        <f t="shared" si="18"/>
        <v>WrnList_ESCLSysErrorWrn</v>
      </c>
      <c r="Q108" t="str">
        <f>IFERROR(VLOOKUP(B108,AppWarningConfig!E:K,7,FALSE),0)</f>
        <v>AUDM_nenLCDGong</v>
      </c>
      <c r="R108" s="2">
        <f t="shared" si="43"/>
        <v>18</v>
      </c>
      <c r="S108" s="41" t="str">
        <f t="shared" si="26"/>
        <v>trigger ESCLSysErrorWrn</v>
      </c>
      <c r="T108" s="41" t="str">
        <f t="shared" si="27"/>
        <v>cancel ESCLSysErrorWrn</v>
      </c>
    </row>
    <row r="109" spans="1:20">
      <c r="A109" s="16">
        <f t="shared" si="25"/>
        <v>108</v>
      </c>
      <c r="B109" s="26" t="s">
        <v>315</v>
      </c>
      <c r="C109" s="2" t="s">
        <v>46</v>
      </c>
      <c r="D109" s="14" t="s">
        <v>15</v>
      </c>
      <c r="E109" s="5" t="s">
        <v>813</v>
      </c>
      <c r="F109" s="17" t="s">
        <v>814</v>
      </c>
      <c r="G109" s="3">
        <v>2000</v>
      </c>
      <c r="H109" s="2">
        <v>90</v>
      </c>
      <c r="I109" s="5" t="s">
        <v>816</v>
      </c>
      <c r="J109" s="4">
        <v>3</v>
      </c>
      <c r="K109" s="24" t="s">
        <v>553</v>
      </c>
      <c r="L109" s="2" t="s">
        <v>4</v>
      </c>
      <c r="M109" s="4" t="str">
        <f t="shared" si="50"/>
        <v>Message_warning_icon_25</v>
      </c>
      <c r="N109" s="4" t="s">
        <v>661</v>
      </c>
      <c r="O109" t="str">
        <f t="shared" si="17"/>
        <v>Wrn_ESCLVolLowWrn</v>
      </c>
      <c r="P109" s="2" t="str">
        <f t="shared" si="18"/>
        <v>WrnList_ESCLVolLowWrn</v>
      </c>
      <c r="Q109" t="str">
        <f>IFERROR(VLOOKUP(B109,AppWarningConfig!E:K,7,FALSE),0)</f>
        <v>AUDM_nenLCDGong</v>
      </c>
      <c r="R109" s="2">
        <f t="shared" si="43"/>
        <v>18</v>
      </c>
      <c r="S109" s="41" t="str">
        <f t="shared" si="26"/>
        <v>trigger ESCLVolLowWrn</v>
      </c>
      <c r="T109" s="41" t="str">
        <f t="shared" si="27"/>
        <v>cancel ESCLVolLowWrn</v>
      </c>
    </row>
    <row r="110" spans="1:20">
      <c r="A110" s="16">
        <f t="shared" si="25"/>
        <v>109</v>
      </c>
      <c r="B110" s="23" t="s">
        <v>316</v>
      </c>
      <c r="C110" s="2" t="s">
        <v>46</v>
      </c>
      <c r="D110" s="14" t="s">
        <v>15</v>
      </c>
      <c r="E110" s="5" t="s">
        <v>813</v>
      </c>
      <c r="F110" s="17" t="s">
        <v>814</v>
      </c>
      <c r="G110" s="3">
        <v>2000</v>
      </c>
      <c r="H110" s="2">
        <v>90</v>
      </c>
      <c r="I110" s="5" t="s">
        <v>816</v>
      </c>
      <c r="J110" s="4">
        <v>3</v>
      </c>
      <c r="K110" s="2" t="s">
        <v>552</v>
      </c>
      <c r="L110" s="2" t="s">
        <v>4</v>
      </c>
      <c r="M110" s="4" t="str">
        <f t="shared" si="50"/>
        <v>Message_warning_icon_25</v>
      </c>
      <c r="N110" s="4" t="s">
        <v>661</v>
      </c>
      <c r="O110" t="str">
        <f t="shared" si="17"/>
        <v>Wrn_ESCLVolHighWrn</v>
      </c>
      <c r="P110" s="2" t="str">
        <f t="shared" si="18"/>
        <v>WrnList_ESCLVolHighWrn</v>
      </c>
      <c r="Q110" t="str">
        <f>IFERROR(VLOOKUP(B110,AppWarningConfig!E:K,7,FALSE),0)</f>
        <v>AUDM_nenLCDGong</v>
      </c>
      <c r="R110" s="2">
        <f t="shared" si="43"/>
        <v>18</v>
      </c>
      <c r="S110" s="41" t="str">
        <f t="shared" si="26"/>
        <v>trigger ESCLVolHighWrn</v>
      </c>
      <c r="T110" s="41" t="str">
        <f t="shared" si="27"/>
        <v>cancel ESCLVolHighWrn</v>
      </c>
    </row>
    <row r="111" spans="1:20">
      <c r="A111" s="16">
        <f t="shared" si="25"/>
        <v>110</v>
      </c>
      <c r="B111" s="23" t="s">
        <v>318</v>
      </c>
      <c r="C111" s="2" t="s">
        <v>46</v>
      </c>
      <c r="D111" s="14" t="s">
        <v>15</v>
      </c>
      <c r="E111" s="5" t="s">
        <v>813</v>
      </c>
      <c r="F111" s="17" t="s">
        <v>814</v>
      </c>
      <c r="G111" s="3">
        <v>2000</v>
      </c>
      <c r="H111" s="2">
        <v>90</v>
      </c>
      <c r="I111" s="5" t="s">
        <v>816</v>
      </c>
      <c r="J111" s="4">
        <v>3</v>
      </c>
      <c r="K111" s="2" t="s">
        <v>480</v>
      </c>
      <c r="L111" s="2" t="s">
        <v>4</v>
      </c>
      <c r="M111" s="4" t="str">
        <f t="shared" si="50"/>
        <v>Message_warning_icon_51</v>
      </c>
      <c r="N111" s="4" t="s">
        <v>662</v>
      </c>
      <c r="O111" t="str">
        <f t="shared" si="17"/>
        <v>Wrn_KeyNotFoundWrn</v>
      </c>
      <c r="P111" s="2" t="str">
        <f t="shared" si="18"/>
        <v>WrnList_KeyNotFoundWrn</v>
      </c>
      <c r="Q111" t="str">
        <f>IFERROR(VLOOKUP(B111,AppWarningConfig!E:K,7,FALSE),0)</f>
        <v>AUDM_nenKeyNotFound</v>
      </c>
      <c r="R111" s="2">
        <f t="shared" si="43"/>
        <v>15</v>
      </c>
      <c r="S111" s="41" t="str">
        <f t="shared" si="26"/>
        <v>trigger KeyNotFoundWrn</v>
      </c>
      <c r="T111" s="41" t="str">
        <f t="shared" si="27"/>
        <v>cancel KeyNotFoundWrn</v>
      </c>
    </row>
    <row r="112" spans="1:20">
      <c r="A112" s="16">
        <f t="shared" si="25"/>
        <v>111</v>
      </c>
      <c r="B112" s="23" t="s">
        <v>320</v>
      </c>
      <c r="C112" s="2" t="s">
        <v>46</v>
      </c>
      <c r="D112" s="14" t="s">
        <v>15</v>
      </c>
      <c r="E112" s="5" t="s">
        <v>813</v>
      </c>
      <c r="F112" s="17" t="s">
        <v>814</v>
      </c>
      <c r="G112" s="3">
        <v>2000</v>
      </c>
      <c r="H112" s="2">
        <v>90</v>
      </c>
      <c r="I112" s="5" t="s">
        <v>816</v>
      </c>
      <c r="J112" s="4">
        <v>3</v>
      </c>
      <c r="K112" s="2" t="s">
        <v>634</v>
      </c>
      <c r="L112" s="2" t="s">
        <v>4</v>
      </c>
      <c r="M112" s="4" t="str">
        <f t="shared" si="50"/>
        <v>Message_warning_icon_46</v>
      </c>
      <c r="N112" s="4" t="s">
        <v>663</v>
      </c>
      <c r="O112" t="str">
        <f t="shared" si="17"/>
        <v>Wrn_KeyCloserWrn</v>
      </c>
      <c r="P112" s="2" t="str">
        <f t="shared" si="18"/>
        <v>WrnList_KeyCloserWrn</v>
      </c>
      <c r="Q112" t="str">
        <f>IFERROR(VLOOKUP(B112,AppWarningConfig!E:K,7,FALSE),0)</f>
        <v>AUDM_nenLCDGong</v>
      </c>
      <c r="R112" s="2">
        <f t="shared" si="43"/>
        <v>18</v>
      </c>
      <c r="S112" s="41" t="str">
        <f t="shared" si="26"/>
        <v>trigger KeyCloserWrn</v>
      </c>
      <c r="T112" s="41" t="str">
        <f t="shared" si="27"/>
        <v>cancel KeyCloserWrn</v>
      </c>
    </row>
    <row r="113" spans="1:20">
      <c r="A113" s="16">
        <f t="shared" si="25"/>
        <v>112</v>
      </c>
      <c r="B113" s="23" t="s">
        <v>322</v>
      </c>
      <c r="C113" s="2" t="s">
        <v>46</v>
      </c>
      <c r="D113" s="14" t="s">
        <v>15</v>
      </c>
      <c r="E113" s="5" t="s">
        <v>813</v>
      </c>
      <c r="F113" s="17" t="s">
        <v>814</v>
      </c>
      <c r="G113" s="3">
        <v>2000</v>
      </c>
      <c r="H113" s="2">
        <v>90</v>
      </c>
      <c r="I113" s="5" t="s">
        <v>816</v>
      </c>
      <c r="J113" s="4">
        <v>3</v>
      </c>
      <c r="K113" s="2" t="s">
        <v>481</v>
      </c>
      <c r="L113" s="2" t="s">
        <v>4</v>
      </c>
      <c r="M113" s="4" t="str">
        <f t="shared" si="50"/>
        <v>Message_warning_icon_3</v>
      </c>
      <c r="N113" s="4" t="s">
        <v>664</v>
      </c>
      <c r="O113" t="str">
        <f t="shared" si="17"/>
        <v>Wrn_IMMOFailWrn</v>
      </c>
      <c r="P113" s="2" t="str">
        <f t="shared" si="18"/>
        <v>WrnList_IMMOFailWrn</v>
      </c>
      <c r="Q113" t="str">
        <f>IFERROR(VLOOKUP(B113,AppWarningConfig!E:K,7,FALSE),0)</f>
        <v>AUDM_nenLCDGong</v>
      </c>
      <c r="R113" s="2">
        <f t="shared" si="43"/>
        <v>18</v>
      </c>
      <c r="S113" s="41" t="str">
        <f t="shared" si="26"/>
        <v>trigger IMMOFailWrn</v>
      </c>
      <c r="T113" s="41" t="str">
        <f t="shared" si="27"/>
        <v>cancel IMMOFailWrn</v>
      </c>
    </row>
    <row r="114" spans="1:20">
      <c r="A114" s="16">
        <f t="shared" si="25"/>
        <v>113</v>
      </c>
      <c r="B114" s="23" t="s">
        <v>324</v>
      </c>
      <c r="C114" s="2" t="s">
        <v>46</v>
      </c>
      <c r="D114" s="14" t="s">
        <v>15</v>
      </c>
      <c r="E114" s="5" t="s">
        <v>813</v>
      </c>
      <c r="F114" s="17" t="s">
        <v>814</v>
      </c>
      <c r="G114" s="3">
        <v>2000</v>
      </c>
      <c r="H114" s="2">
        <v>90</v>
      </c>
      <c r="I114" s="5" t="s">
        <v>816</v>
      </c>
      <c r="J114" s="4">
        <v>3</v>
      </c>
      <c r="K114" s="2" t="s">
        <v>635</v>
      </c>
      <c r="L114" s="2" t="s">
        <v>4</v>
      </c>
      <c r="M114" s="4" t="str">
        <f t="shared" si="50"/>
        <v>Message_warning_icon_57</v>
      </c>
      <c r="N114" s="4" t="s">
        <v>665</v>
      </c>
      <c r="O114" t="str">
        <f t="shared" si="17"/>
        <v>Wrn_EngForbidWrn</v>
      </c>
      <c r="P114" s="2" t="str">
        <f t="shared" si="18"/>
        <v>WrnList_EngForbidWrn</v>
      </c>
      <c r="Q114" t="str">
        <f>IFERROR(VLOOKUP(B114,AppWarningConfig!E:K,7,FALSE),0)</f>
        <v>AUDM_nenLCDGong</v>
      </c>
      <c r="R114" s="2">
        <f t="shared" si="43"/>
        <v>18</v>
      </c>
      <c r="S114" s="41" t="str">
        <f t="shared" si="26"/>
        <v>trigger EngForbidWrn</v>
      </c>
      <c r="T114" s="41" t="str">
        <f t="shared" si="27"/>
        <v>cancel EngForbidWrn</v>
      </c>
    </row>
    <row r="115" spans="1:20">
      <c r="A115" s="16">
        <f t="shared" si="25"/>
        <v>114</v>
      </c>
      <c r="B115" s="28" t="s">
        <v>326</v>
      </c>
      <c r="C115" s="2" t="s">
        <v>46</v>
      </c>
      <c r="D115" s="14" t="s">
        <v>15</v>
      </c>
      <c r="E115" s="5" t="s">
        <v>813</v>
      </c>
      <c r="F115" s="17" t="s">
        <v>814</v>
      </c>
      <c r="G115" s="3">
        <v>2000</v>
      </c>
      <c r="H115" s="2">
        <v>90</v>
      </c>
      <c r="I115" s="5" t="s">
        <v>816</v>
      </c>
      <c r="J115" s="4">
        <v>3</v>
      </c>
      <c r="K115" s="2" t="s">
        <v>325</v>
      </c>
      <c r="L115" s="2" t="s">
        <v>4</v>
      </c>
      <c r="M115" s="4" t="str">
        <f t="shared" si="50"/>
        <v>Message_warning_icon_39</v>
      </c>
      <c r="N115" s="4" t="s">
        <v>666</v>
      </c>
      <c r="O115" t="str">
        <f t="shared" si="17"/>
        <v>Wrn_PressBrakeToStartWrn</v>
      </c>
      <c r="P115" s="2" t="str">
        <f t="shared" si="18"/>
        <v>WrnList_PressBrakeToStartWrn</v>
      </c>
      <c r="Q115" t="str">
        <f>IFERROR(VLOOKUP(B115,AppWarningConfig!E:K,7,FALSE),0)</f>
        <v>AUDM_nenLCDGong</v>
      </c>
      <c r="R115" s="2">
        <f t="shared" si="43"/>
        <v>18</v>
      </c>
      <c r="S115" s="41" t="str">
        <f t="shared" si="26"/>
        <v>trigger PressBrakeToStartWrn</v>
      </c>
      <c r="T115" s="41" t="str">
        <f t="shared" si="27"/>
        <v>cancel PressBrakeToStartWrn</v>
      </c>
    </row>
    <row r="116" spans="1:20">
      <c r="A116" s="16">
        <f t="shared" si="25"/>
        <v>115</v>
      </c>
      <c r="B116" s="23" t="s">
        <v>330</v>
      </c>
      <c r="C116" s="2" t="s">
        <v>46</v>
      </c>
      <c r="D116" s="14" t="s">
        <v>15</v>
      </c>
      <c r="E116" s="5" t="s">
        <v>813</v>
      </c>
      <c r="F116" s="17" t="s">
        <v>814</v>
      </c>
      <c r="G116" s="3">
        <v>2000</v>
      </c>
      <c r="H116" s="2">
        <v>90</v>
      </c>
      <c r="I116" s="5" t="s">
        <v>816</v>
      </c>
      <c r="J116" s="4">
        <v>3</v>
      </c>
      <c r="K116" s="2" t="s">
        <v>1087</v>
      </c>
      <c r="L116" s="2" t="s">
        <v>4</v>
      </c>
      <c r="M116" s="4" t="str">
        <f t="shared" si="50"/>
        <v>Message_warning_icon_21</v>
      </c>
      <c r="N116" s="4" t="s">
        <v>667</v>
      </c>
      <c r="O116" t="str">
        <f t="shared" si="17"/>
        <v>Wrn_ShiftPNToStartWrn</v>
      </c>
      <c r="P116" s="2" t="str">
        <f t="shared" si="18"/>
        <v>WrnList_ShiftPNToStartWrn</v>
      </c>
      <c r="Q116" t="str">
        <f>IFERROR(VLOOKUP(B116,AppWarningConfig!E:K,7,FALSE),0)</f>
        <v>AUDM_nenLCDGong</v>
      </c>
      <c r="R116" s="2">
        <f t="shared" si="43"/>
        <v>18</v>
      </c>
      <c r="S116" s="41" t="str">
        <f t="shared" si="26"/>
        <v>trigger ShiftPNToStartWrn</v>
      </c>
      <c r="T116" s="41" t="str">
        <f t="shared" si="27"/>
        <v>cancel ShiftPNToStartWrn</v>
      </c>
    </row>
    <row r="117" spans="1:20">
      <c r="A117" s="16">
        <f t="shared" si="25"/>
        <v>116</v>
      </c>
      <c r="B117" s="23" t="s">
        <v>332</v>
      </c>
      <c r="C117" s="2" t="s">
        <v>46</v>
      </c>
      <c r="D117" s="14" t="s">
        <v>15</v>
      </c>
      <c r="E117" s="5" t="s">
        <v>813</v>
      </c>
      <c r="F117" s="17" t="s">
        <v>814</v>
      </c>
      <c r="G117" s="3">
        <v>2000</v>
      </c>
      <c r="H117" s="2">
        <v>90</v>
      </c>
      <c r="I117" s="5" t="s">
        <v>816</v>
      </c>
      <c r="J117" s="4">
        <v>3</v>
      </c>
      <c r="K117" s="2" t="s">
        <v>482</v>
      </c>
      <c r="L117" s="2" t="s">
        <v>4</v>
      </c>
      <c r="M117" s="4" t="str">
        <f t="shared" si="50"/>
        <v>Message_warning_icon_35</v>
      </c>
      <c r="N117" s="4" t="s">
        <v>668</v>
      </c>
      <c r="O117" t="str">
        <f t="shared" si="17"/>
        <v>Wrn_ShiftPToParkWrn</v>
      </c>
      <c r="P117" s="2" t="str">
        <f t="shared" si="18"/>
        <v>WrnList_ShiftPToParkWrn</v>
      </c>
      <c r="Q117" t="str">
        <f>IFERROR(VLOOKUP(B117,AppWarningConfig!E:K,7,FALSE),0)</f>
        <v>AUDM_nenLCDGong</v>
      </c>
      <c r="R117" s="2">
        <f t="shared" si="43"/>
        <v>18</v>
      </c>
      <c r="S117" s="41" t="str">
        <f t="shared" si="26"/>
        <v>trigger ShiftPToParkWrn</v>
      </c>
      <c r="T117" s="41" t="str">
        <f t="shared" si="27"/>
        <v>cancel ShiftPToParkWrn</v>
      </c>
    </row>
    <row r="118" spans="1:20">
      <c r="A118" s="16">
        <f t="shared" si="25"/>
        <v>117</v>
      </c>
      <c r="B118" s="23" t="s">
        <v>389</v>
      </c>
      <c r="C118" s="2" t="s">
        <v>46</v>
      </c>
      <c r="D118" s="14" t="s">
        <v>15</v>
      </c>
      <c r="E118" s="5" t="s">
        <v>813</v>
      </c>
      <c r="F118" s="17" t="s">
        <v>814</v>
      </c>
      <c r="G118" s="3">
        <v>2000</v>
      </c>
      <c r="H118" s="2">
        <v>90</v>
      </c>
      <c r="I118" s="5" t="s">
        <v>816</v>
      </c>
      <c r="J118" s="4">
        <v>3</v>
      </c>
      <c r="K118" s="2" t="s">
        <v>388</v>
      </c>
      <c r="L118" s="2" t="s">
        <v>4</v>
      </c>
      <c r="M118" s="4" t="str">
        <f t="shared" si="50"/>
        <v>Message_warning_icon_2</v>
      </c>
      <c r="N118" s="4" t="s">
        <v>1548</v>
      </c>
      <c r="O118" t="str">
        <f t="shared" si="17"/>
        <v>Wrn_KeyBatteryLowWrn</v>
      </c>
      <c r="P118" s="2" t="str">
        <f t="shared" si="18"/>
        <v>WrnList_KeyBatteryLowWrn</v>
      </c>
      <c r="Q118" t="str">
        <f>IFERROR(VLOOKUP(B118,AppWarningConfig!E:K,7,FALSE),0)</f>
        <v>AUDM_nenLCDGong</v>
      </c>
      <c r="R118" s="2">
        <f t="shared" si="43"/>
        <v>18</v>
      </c>
      <c r="S118" s="41" t="str">
        <f t="shared" si="26"/>
        <v>trigger KeyBatteryLowWrn</v>
      </c>
      <c r="T118" s="41" t="str">
        <f t="shared" si="27"/>
        <v>cancel KeyBatteryLowWrn</v>
      </c>
    </row>
    <row r="119" spans="1:20">
      <c r="A119" s="16">
        <f t="shared" si="25"/>
        <v>118</v>
      </c>
      <c r="B119" s="47" t="s">
        <v>391</v>
      </c>
      <c r="C119" s="2" t="s">
        <v>46</v>
      </c>
      <c r="D119" s="14" t="s">
        <v>15</v>
      </c>
      <c r="E119" s="5" t="s">
        <v>813</v>
      </c>
      <c r="F119" s="17" t="s">
        <v>814</v>
      </c>
      <c r="G119" s="3">
        <v>2000</v>
      </c>
      <c r="H119" s="2">
        <v>90</v>
      </c>
      <c r="I119" s="5" t="s">
        <v>816</v>
      </c>
      <c r="J119" s="4">
        <v>3</v>
      </c>
      <c r="K119" s="33" t="s">
        <v>742</v>
      </c>
      <c r="L119" s="2" t="s">
        <v>4</v>
      </c>
      <c r="M119" s="4" t="str">
        <f t="shared" si="50"/>
        <v>Message_warning_icon_53</v>
      </c>
      <c r="N119" s="4" t="s">
        <v>669</v>
      </c>
      <c r="O119" t="str">
        <f t="shared" si="17"/>
        <v>Wrn_PowerOnCntWrn</v>
      </c>
      <c r="P119" s="2" t="str">
        <f t="shared" si="18"/>
        <v>WrnList_PowerOnCntWrn</v>
      </c>
      <c r="Q119" t="str">
        <f>IFERROR(VLOOKUP(B119,AppWarningConfig!E:K,7,FALSE),0)</f>
        <v>AUDM_nenLCDGong</v>
      </c>
      <c r="R119" s="2">
        <f t="shared" si="43"/>
        <v>18</v>
      </c>
      <c r="S119" s="41" t="str">
        <f t="shared" si="26"/>
        <v>trigger PowerOnCntWrn</v>
      </c>
      <c r="T119" s="41" t="str">
        <f t="shared" si="27"/>
        <v>cancel PowerOnCntWrn</v>
      </c>
    </row>
    <row r="120" spans="1:20">
      <c r="A120" s="16">
        <f t="shared" si="25"/>
        <v>119</v>
      </c>
      <c r="B120" s="23" t="s">
        <v>392</v>
      </c>
      <c r="C120" s="2" t="s">
        <v>46</v>
      </c>
      <c r="D120" s="14" t="s">
        <v>15</v>
      </c>
      <c r="E120" s="5" t="s">
        <v>813</v>
      </c>
      <c r="F120" s="17" t="s">
        <v>814</v>
      </c>
      <c r="G120" s="3">
        <v>2000</v>
      </c>
      <c r="H120" s="2">
        <v>90</v>
      </c>
      <c r="I120" s="5" t="s">
        <v>816</v>
      </c>
      <c r="J120" s="4">
        <v>3</v>
      </c>
      <c r="K120" s="2" t="s">
        <v>273</v>
      </c>
      <c r="L120" s="2" t="s">
        <v>4</v>
      </c>
      <c r="M120" s="4" t="str">
        <f t="shared" si="50"/>
        <v>Message_warning_icon_54</v>
      </c>
      <c r="N120" s="4" t="s">
        <v>670</v>
      </c>
      <c r="O120" t="str">
        <f t="shared" si="17"/>
        <v>Wrn_IGN1FailureWrn</v>
      </c>
      <c r="P120" s="2" t="str">
        <f t="shared" si="18"/>
        <v>WrnList_IGN1FailureWrn</v>
      </c>
      <c r="Q120" t="str">
        <f>IFERROR(VLOOKUP(B120,AppWarningConfig!E:K,7,FALSE),0)</f>
        <v>AUDM_nenLCDGong</v>
      </c>
      <c r="R120" s="2">
        <f t="shared" si="43"/>
        <v>18</v>
      </c>
      <c r="S120" s="41" t="str">
        <f t="shared" si="26"/>
        <v>trigger IGN1FailureWrn</v>
      </c>
      <c r="T120" s="41" t="str">
        <f t="shared" si="27"/>
        <v>cancel IGN1FailureWrn</v>
      </c>
    </row>
    <row r="121" spans="1:20">
      <c r="A121" s="16">
        <f t="shared" si="25"/>
        <v>120</v>
      </c>
      <c r="B121" s="23" t="s">
        <v>393</v>
      </c>
      <c r="C121" s="2" t="s">
        <v>46</v>
      </c>
      <c r="D121" s="14" t="s">
        <v>15</v>
      </c>
      <c r="E121" s="5" t="s">
        <v>813</v>
      </c>
      <c r="F121" s="17" t="s">
        <v>814</v>
      </c>
      <c r="G121" s="3">
        <v>2000</v>
      </c>
      <c r="H121" s="2">
        <v>90</v>
      </c>
      <c r="I121" s="5" t="s">
        <v>816</v>
      </c>
      <c r="J121" s="4">
        <v>3</v>
      </c>
      <c r="K121" s="2" t="s">
        <v>272</v>
      </c>
      <c r="L121" s="2" t="s">
        <v>4</v>
      </c>
      <c r="M121" s="4" t="str">
        <f t="shared" si="50"/>
        <v>Message_warning_icon_55</v>
      </c>
      <c r="N121" s="4" t="s">
        <v>656</v>
      </c>
      <c r="O121" t="str">
        <f t="shared" si="17"/>
        <v>Wrn_SSBFailureWrn</v>
      </c>
      <c r="P121" s="2" t="str">
        <f t="shared" si="18"/>
        <v>WrnList_SSBFailureWrn</v>
      </c>
      <c r="Q121" t="str">
        <f>IFERROR(VLOOKUP(B121,AppWarningConfig!E:K,7,FALSE),0)</f>
        <v>AUDM_nenLCDGong</v>
      </c>
      <c r="R121" s="2">
        <f t="shared" si="43"/>
        <v>18</v>
      </c>
      <c r="S121" s="41" t="str">
        <f t="shared" si="26"/>
        <v>trigger SSBFailureWrn</v>
      </c>
      <c r="T121" s="41" t="str">
        <f t="shared" si="27"/>
        <v>cancel SSBFailureWrn</v>
      </c>
    </row>
    <row r="122" spans="1:20">
      <c r="A122" s="16">
        <f t="shared" si="25"/>
        <v>121</v>
      </c>
      <c r="B122" s="23" t="s">
        <v>334</v>
      </c>
      <c r="C122" s="2" t="s">
        <v>6</v>
      </c>
      <c r="D122" s="14" t="s">
        <v>15</v>
      </c>
      <c r="E122" s="5" t="s">
        <v>813</v>
      </c>
      <c r="F122" s="17" t="s">
        <v>814</v>
      </c>
      <c r="G122" s="3">
        <v>2000</v>
      </c>
      <c r="H122" s="2">
        <v>80</v>
      </c>
      <c r="I122" s="5" t="s">
        <v>816</v>
      </c>
      <c r="J122" s="4">
        <v>3</v>
      </c>
      <c r="K122" s="2" t="s">
        <v>333</v>
      </c>
      <c r="L122" s="2" t="s">
        <v>4</v>
      </c>
      <c r="M122" s="4" t="str">
        <f t="shared" si="50"/>
        <v>Message_warning_icon_40</v>
      </c>
      <c r="N122" s="4" t="s">
        <v>643</v>
      </c>
      <c r="O122" t="str">
        <f t="shared" si="17"/>
        <v>Wrn_EPBPressBreakWrn</v>
      </c>
      <c r="P122" s="2" t="str">
        <f t="shared" si="18"/>
        <v>WrnList_EPBPressBreakWrn</v>
      </c>
      <c r="Q122" t="str">
        <f>IFERROR(VLOOKUP(B122,AppWarningConfig!E:K,7,FALSE),0)</f>
        <v>AUDM_nenLCDGong</v>
      </c>
      <c r="R122" s="2">
        <f t="shared" si="43"/>
        <v>18</v>
      </c>
      <c r="S122" s="41" t="str">
        <f t="shared" si="26"/>
        <v>trigger EPBPressBreakWrn</v>
      </c>
      <c r="T122" s="41" t="str">
        <f t="shared" si="27"/>
        <v>cancel EPBPressBreakWrn</v>
      </c>
    </row>
    <row r="123" spans="1:20">
      <c r="A123" s="16">
        <f t="shared" si="25"/>
        <v>122</v>
      </c>
      <c r="B123" s="23" t="s">
        <v>336</v>
      </c>
      <c r="C123" s="2" t="s">
        <v>6</v>
      </c>
      <c r="D123" s="14" t="s">
        <v>15</v>
      </c>
      <c r="E123" s="5" t="s">
        <v>813</v>
      </c>
      <c r="F123" s="17" t="s">
        <v>814</v>
      </c>
      <c r="G123" s="3">
        <v>2000</v>
      </c>
      <c r="H123" s="2">
        <v>80</v>
      </c>
      <c r="I123" s="5" t="s">
        <v>816</v>
      </c>
      <c r="J123" s="4">
        <v>3</v>
      </c>
      <c r="K123" s="2" t="s">
        <v>335</v>
      </c>
      <c r="L123" s="2" t="s">
        <v>4</v>
      </c>
      <c r="M123" s="4" t="str">
        <f t="shared" si="50"/>
        <v>Message_warning_icon_27</v>
      </c>
      <c r="N123" s="4" t="s">
        <v>671</v>
      </c>
      <c r="O123" t="str">
        <f t="shared" si="17"/>
        <v>Wrn_CloseDoorWithStbtWrn</v>
      </c>
      <c r="P123" s="2" t="str">
        <f t="shared" si="18"/>
        <v>WrnList_CloseDoorWithStbtWrn</v>
      </c>
      <c r="Q123" t="str">
        <f>IFERROR(VLOOKUP(B123,AppWarningConfig!E:K,7,FALSE),0)</f>
        <v>AUDM_nenLCDGong</v>
      </c>
      <c r="R123" s="2">
        <f t="shared" si="43"/>
        <v>18</v>
      </c>
      <c r="S123" s="41" t="str">
        <f t="shared" si="26"/>
        <v>trigger CloseDoorWithStbtWrn</v>
      </c>
      <c r="T123" s="41" t="str">
        <f t="shared" si="27"/>
        <v>cancel CloseDoorWithStbtWrn</v>
      </c>
    </row>
    <row r="124" spans="1:20">
      <c r="A124" s="16">
        <f t="shared" si="25"/>
        <v>123</v>
      </c>
      <c r="B124" s="23" t="s">
        <v>338</v>
      </c>
      <c r="C124" s="2" t="s">
        <v>6</v>
      </c>
      <c r="D124" s="14" t="s">
        <v>15</v>
      </c>
      <c r="E124" s="5" t="s">
        <v>813</v>
      </c>
      <c r="F124" s="17" t="s">
        <v>814</v>
      </c>
      <c r="G124" s="3">
        <v>2000</v>
      </c>
      <c r="H124" s="2">
        <v>80</v>
      </c>
      <c r="I124" s="5" t="s">
        <v>816</v>
      </c>
      <c r="J124" s="4">
        <v>3</v>
      </c>
      <c r="K124" s="2" t="s">
        <v>337</v>
      </c>
      <c r="L124" s="2" t="s">
        <v>4</v>
      </c>
      <c r="M124" s="4" t="str">
        <f t="shared" si="50"/>
        <v>Message_warning_icon_27</v>
      </c>
      <c r="N124" s="4" t="s">
        <v>671</v>
      </c>
      <c r="O124" t="str">
        <f t="shared" si="17"/>
        <v>Wrn_EPBCloseSeatbeltWrn</v>
      </c>
      <c r="P124" s="2" t="str">
        <f t="shared" si="18"/>
        <v>WrnList_EPBCloseSeatbeltWrn</v>
      </c>
      <c r="Q124" t="str">
        <f>IFERROR(VLOOKUP(B124,AppWarningConfig!E:K,7,FALSE),0)</f>
        <v>AUDM_nenLCDGong</v>
      </c>
      <c r="R124" s="2">
        <f t="shared" si="43"/>
        <v>18</v>
      </c>
      <c r="S124" s="41" t="str">
        <f t="shared" si="26"/>
        <v>trigger EPBCloseSeatbeltWrn</v>
      </c>
      <c r="T124" s="41" t="str">
        <f t="shared" si="27"/>
        <v>cancel EPBCloseSeatbeltWrn</v>
      </c>
    </row>
    <row r="125" spans="1:20">
      <c r="A125" s="16">
        <f t="shared" si="25"/>
        <v>124</v>
      </c>
      <c r="B125" s="28" t="s">
        <v>342</v>
      </c>
      <c r="C125" s="2" t="s">
        <v>6</v>
      </c>
      <c r="D125" s="14" t="s">
        <v>15</v>
      </c>
      <c r="E125" s="5" t="s">
        <v>813</v>
      </c>
      <c r="F125" s="17" t="s">
        <v>814</v>
      </c>
      <c r="G125" s="3">
        <v>2000</v>
      </c>
      <c r="H125" s="2">
        <v>80</v>
      </c>
      <c r="I125" s="5" t="s">
        <v>816</v>
      </c>
      <c r="J125" s="4">
        <v>3</v>
      </c>
      <c r="K125" s="2" t="s">
        <v>691</v>
      </c>
      <c r="L125" s="2" t="s">
        <v>4</v>
      </c>
      <c r="M125" s="4" t="str">
        <f t="shared" ref="M125" si="53">CONCATENATE("Message_",N125)</f>
        <v>Message_warning_icon_6</v>
      </c>
      <c r="N125" s="4" t="s">
        <v>695</v>
      </c>
      <c r="O125" t="str">
        <f t="shared" ref="O125" si="54">CONCATENATE("Wrn_",B125)</f>
        <v>Wrn_TCUOverTempWrn</v>
      </c>
      <c r="P125" s="2" t="str">
        <f t="shared" si="18"/>
        <v>WrnList_TCUOverTempWrn</v>
      </c>
      <c r="Q125" t="str">
        <f>IFERROR(VLOOKUP(B125,AppWarningConfig!E:K,7,FALSE),0)</f>
        <v>AUDM_nenLCDGong</v>
      </c>
      <c r="R125" s="2">
        <f t="shared" si="43"/>
        <v>18</v>
      </c>
      <c r="S125" s="41" t="str">
        <f t="shared" si="26"/>
        <v>trigger TCUOverTempWrn</v>
      </c>
      <c r="T125" s="41" t="str">
        <f t="shared" si="27"/>
        <v>cancel TCUOverTempWrn</v>
      </c>
    </row>
    <row r="126" spans="1:20">
      <c r="A126" s="16">
        <f t="shared" si="25"/>
        <v>125</v>
      </c>
      <c r="B126" s="28" t="s">
        <v>340</v>
      </c>
      <c r="C126" s="2" t="s">
        <v>6</v>
      </c>
      <c r="D126" s="14" t="s">
        <v>15</v>
      </c>
      <c r="E126" s="5" t="s">
        <v>813</v>
      </c>
      <c r="F126" s="17" t="s">
        <v>814</v>
      </c>
      <c r="G126" s="3">
        <v>2000</v>
      </c>
      <c r="H126" s="2">
        <v>80</v>
      </c>
      <c r="I126" s="5" t="s">
        <v>816</v>
      </c>
      <c r="J126" s="4">
        <v>3</v>
      </c>
      <c r="K126" s="2" t="s">
        <v>693</v>
      </c>
      <c r="L126" s="2" t="s">
        <v>4</v>
      </c>
      <c r="M126" s="4" t="str">
        <f t="shared" si="50"/>
        <v>Message_warning_icon_6</v>
      </c>
      <c r="N126" s="4" t="s">
        <v>695</v>
      </c>
      <c r="O126" t="str">
        <f t="shared" si="17"/>
        <v>Wrn_TCUOverTempWrnWait</v>
      </c>
      <c r="P126" s="2" t="str">
        <f t="shared" si="18"/>
        <v>WrnList_TCUOverTempWrnWait</v>
      </c>
      <c r="Q126" t="str">
        <f>IFERROR(VLOOKUP(B126,AppWarningConfig!E:K,7,FALSE),0)</f>
        <v>AUDM_nenLCDGong</v>
      </c>
      <c r="R126" s="2">
        <f t="shared" si="43"/>
        <v>18</v>
      </c>
      <c r="S126" s="41" t="str">
        <f t="shared" si="26"/>
        <v>trigger TCUOverTempWrnWait</v>
      </c>
      <c r="T126" s="41" t="str">
        <f t="shared" si="27"/>
        <v>cancel TCUOverTempWrnWait</v>
      </c>
    </row>
    <row r="127" spans="1:20">
      <c r="A127" s="16">
        <f t="shared" si="25"/>
        <v>126</v>
      </c>
      <c r="B127" s="27" t="s">
        <v>696</v>
      </c>
      <c r="C127" s="2" t="s">
        <v>46</v>
      </c>
      <c r="D127" s="14" t="s">
        <v>15</v>
      </c>
      <c r="E127" s="5" t="s">
        <v>813</v>
      </c>
      <c r="F127" s="15" t="s">
        <v>815</v>
      </c>
      <c r="G127" s="3">
        <v>2000</v>
      </c>
      <c r="H127" s="2">
        <v>80</v>
      </c>
      <c r="I127" s="5" t="s">
        <v>816</v>
      </c>
      <c r="J127" s="4">
        <v>3</v>
      </c>
      <c r="K127" s="2" t="s">
        <v>1546</v>
      </c>
      <c r="L127" s="2" t="s">
        <v>4</v>
      </c>
      <c r="M127" s="4" t="str">
        <f>CONCATENATE("DoorOpen_",N127)</f>
        <v>DoorOpen_door_open_car</v>
      </c>
      <c r="N127" s="4" t="s">
        <v>45</v>
      </c>
      <c r="O127" t="str">
        <f>CONCATENATE("Wrn_",B127)</f>
        <v>Wrn_DoorOpen2</v>
      </c>
      <c r="P127" s="2" t="str">
        <f t="shared" si="18"/>
        <v>WrnList_DoorOpen2</v>
      </c>
      <c r="Q127">
        <f>IFERROR(VLOOKUP(B127,AppWarningConfig!E:K,7,FALSE),0)</f>
        <v>0</v>
      </c>
      <c r="R127" s="2">
        <f t="shared" si="43"/>
        <v>256</v>
      </c>
      <c r="S127" s="41" t="str">
        <f t="shared" si="26"/>
        <v>trigger DoorOpen2</v>
      </c>
      <c r="T127" s="41" t="str">
        <f t="shared" si="27"/>
        <v>cancel DoorOpen2</v>
      </c>
    </row>
    <row r="128" spans="1:20">
      <c r="A128" s="16">
        <f t="shared" si="25"/>
        <v>127</v>
      </c>
      <c r="B128" s="23" t="s">
        <v>451</v>
      </c>
      <c r="C128" s="2" t="s">
        <v>6</v>
      </c>
      <c r="D128" s="14" t="s">
        <v>15</v>
      </c>
      <c r="E128" s="5" t="s">
        <v>813</v>
      </c>
      <c r="F128" s="17" t="s">
        <v>814</v>
      </c>
      <c r="G128" s="3">
        <v>2000</v>
      </c>
      <c r="H128" s="2">
        <v>70</v>
      </c>
      <c r="I128" s="5" t="s">
        <v>816</v>
      </c>
      <c r="J128" s="4">
        <v>3</v>
      </c>
      <c r="K128" s="2" t="s">
        <v>277</v>
      </c>
      <c r="L128" s="2" t="s">
        <v>4</v>
      </c>
      <c r="M128" s="4" t="str">
        <f t="shared" ref="M128" si="55">CONCATENATE("Message_",N128)</f>
        <v>Message_warning_icon_22</v>
      </c>
      <c r="N128" s="21" t="s">
        <v>689</v>
      </c>
      <c r="O128" t="str">
        <f t="shared" ref="O128" si="56">CONCATENATE("Wrn_",B128)</f>
        <v>Wrn_PositionLampFailWrn</v>
      </c>
      <c r="P128" s="2" t="str">
        <f t="shared" si="18"/>
        <v>WrnList_PositionLampFailWrn</v>
      </c>
      <c r="Q128" t="str">
        <f>IFERROR(VLOOKUP(B128,AppWarningConfig!E:K,7,FALSE),0)</f>
        <v>AUDM_nenLCDGong</v>
      </c>
      <c r="R128" s="2">
        <f t="shared" si="43"/>
        <v>18</v>
      </c>
      <c r="S128" s="41" t="str">
        <f t="shared" si="26"/>
        <v>trigger PositionLampFailWrn</v>
      </c>
      <c r="T128" s="41" t="str">
        <f t="shared" si="27"/>
        <v>cancel PositionLampFailWrn</v>
      </c>
    </row>
    <row r="129" spans="1:20">
      <c r="A129" s="16">
        <f t="shared" si="25"/>
        <v>128</v>
      </c>
      <c r="B129" s="23" t="s">
        <v>395</v>
      </c>
      <c r="C129" s="2" t="s">
        <v>6</v>
      </c>
      <c r="D129" s="14" t="s">
        <v>15</v>
      </c>
      <c r="E129" s="5" t="s">
        <v>813</v>
      </c>
      <c r="F129" s="17" t="s">
        <v>814</v>
      </c>
      <c r="G129" s="3">
        <v>2000</v>
      </c>
      <c r="H129" s="2">
        <v>70</v>
      </c>
      <c r="I129" s="5" t="s">
        <v>816</v>
      </c>
      <c r="J129" s="4">
        <v>3</v>
      </c>
      <c r="K129" s="2" t="s">
        <v>632</v>
      </c>
      <c r="L129" s="2" t="s">
        <v>4</v>
      </c>
      <c r="M129" s="4" t="str">
        <f t="shared" si="50"/>
        <v>Message_warning_icon_60</v>
      </c>
      <c r="N129" s="4" t="s">
        <v>672</v>
      </c>
      <c r="O129" t="str">
        <f t="shared" si="17"/>
        <v>Wrn_TPMSSensorUnlearnWrn</v>
      </c>
      <c r="P129" s="2" t="str">
        <f t="shared" si="18"/>
        <v>WrnList_TPMSSensorUnlearnWrn</v>
      </c>
      <c r="Q129" t="str">
        <f>IFERROR(VLOOKUP(B129,AppWarningConfig!E:K,7,FALSE),0)</f>
        <v>AUDM_nenLCDGong</v>
      </c>
      <c r="R129" s="2">
        <f t="shared" si="43"/>
        <v>18</v>
      </c>
      <c r="S129" s="41" t="str">
        <f t="shared" si="26"/>
        <v>trigger TPMSSensorUnlearnWrn</v>
      </c>
      <c r="T129" s="41" t="str">
        <f t="shared" si="27"/>
        <v>cancel TPMSSensorUnlearnWrn</v>
      </c>
    </row>
    <row r="130" spans="1:20">
      <c r="A130" s="16">
        <f t="shared" si="25"/>
        <v>129</v>
      </c>
      <c r="B130" s="23" t="s">
        <v>397</v>
      </c>
      <c r="C130" s="2" t="s">
        <v>6</v>
      </c>
      <c r="D130" s="14" t="s">
        <v>15</v>
      </c>
      <c r="E130" s="5" t="s">
        <v>813</v>
      </c>
      <c r="F130" s="17" t="s">
        <v>814</v>
      </c>
      <c r="G130" s="3">
        <v>2000</v>
      </c>
      <c r="H130" s="2">
        <v>70</v>
      </c>
      <c r="I130" s="5" t="s">
        <v>816</v>
      </c>
      <c r="J130" s="4">
        <v>3</v>
      </c>
      <c r="K130" s="2" t="s">
        <v>396</v>
      </c>
      <c r="L130" s="2" t="s">
        <v>4</v>
      </c>
      <c r="M130" s="4" t="str">
        <f t="shared" si="50"/>
        <v>Message_warning_icon_59</v>
      </c>
      <c r="N130" s="4" t="s">
        <v>1635</v>
      </c>
      <c r="O130" t="str">
        <f t="shared" si="17"/>
        <v>Wrn_TirePressLowWrn</v>
      </c>
      <c r="P130" s="2" t="str">
        <f t="shared" si="18"/>
        <v>WrnList_TirePressLowWrn</v>
      </c>
      <c r="Q130" t="str">
        <f>IFERROR(VLOOKUP(B130,AppWarningConfig!E:K,7,FALSE),0)</f>
        <v>AUDM_nenTpmsPres</v>
      </c>
      <c r="R130" s="2">
        <f t="shared" ref="R130:R161" si="57">IFERROR(VLOOKUP(Q130,V:AW,2,FALSE),256)</f>
        <v>3</v>
      </c>
      <c r="S130" s="41" t="str">
        <f t="shared" si="26"/>
        <v>trigger TirePressLowWrn</v>
      </c>
      <c r="T130" s="41" t="str">
        <f t="shared" si="27"/>
        <v>cancel TirePressLowWrn</v>
      </c>
    </row>
    <row r="131" spans="1:20">
      <c r="A131" s="16">
        <f t="shared" si="25"/>
        <v>130</v>
      </c>
      <c r="B131" s="23" t="s">
        <v>399</v>
      </c>
      <c r="C131" s="2" t="s">
        <v>6</v>
      </c>
      <c r="D131" s="14" t="s">
        <v>15</v>
      </c>
      <c r="E131" s="5" t="s">
        <v>813</v>
      </c>
      <c r="F131" s="17" t="s">
        <v>814</v>
      </c>
      <c r="G131" s="3">
        <v>2000</v>
      </c>
      <c r="H131" s="2">
        <v>70</v>
      </c>
      <c r="I131" s="5" t="s">
        <v>816</v>
      </c>
      <c r="J131" s="4">
        <v>3</v>
      </c>
      <c r="K131" s="2" t="s">
        <v>398</v>
      </c>
      <c r="L131" s="2" t="s">
        <v>4</v>
      </c>
      <c r="M131" s="4" t="str">
        <f t="shared" si="50"/>
        <v>Message_warning_icon_23</v>
      </c>
      <c r="N131" s="4" t="s">
        <v>1637</v>
      </c>
      <c r="O131" t="str">
        <f t="shared" si="17"/>
        <v>Wrn_TireTempHighWrn</v>
      </c>
      <c r="P131" s="2" t="str">
        <f t="shared" si="18"/>
        <v>WrnList_TireTempHighWrn</v>
      </c>
      <c r="Q131" t="str">
        <f>IFERROR(VLOOKUP(B131,AppWarningConfig!E:K,7,FALSE),0)</f>
        <v>AUDM_nenTpmsTemp</v>
      </c>
      <c r="R131" s="2">
        <f t="shared" si="57"/>
        <v>4</v>
      </c>
      <c r="S131" s="41" t="str">
        <f t="shared" si="26"/>
        <v>trigger TireTempHighWrn</v>
      </c>
      <c r="T131" s="41" t="str">
        <f t="shared" si="27"/>
        <v>cancel TireTempHighWrn</v>
      </c>
    </row>
    <row r="132" spans="1:20">
      <c r="A132" s="16">
        <f t="shared" si="25"/>
        <v>131</v>
      </c>
      <c r="B132" s="23" t="s">
        <v>401</v>
      </c>
      <c r="C132" s="2" t="s">
        <v>6</v>
      </c>
      <c r="D132" s="14" t="s">
        <v>15</v>
      </c>
      <c r="E132" s="5" t="s">
        <v>813</v>
      </c>
      <c r="F132" s="17" t="s">
        <v>814</v>
      </c>
      <c r="G132" s="3">
        <v>2000</v>
      </c>
      <c r="H132" s="2">
        <v>70</v>
      </c>
      <c r="I132" s="5" t="s">
        <v>816</v>
      </c>
      <c r="J132" s="4">
        <v>3</v>
      </c>
      <c r="K132" s="2" t="s">
        <v>400</v>
      </c>
      <c r="L132" s="2" t="s">
        <v>4</v>
      </c>
      <c r="M132" s="4" t="str">
        <f t="shared" si="50"/>
        <v>Message_warning_icon_47</v>
      </c>
      <c r="N132" s="4" t="s">
        <v>1638</v>
      </c>
      <c r="O132" t="str">
        <f t="shared" si="17"/>
        <v>Wrn_TireFastLeakWrn</v>
      </c>
      <c r="P132" s="2" t="str">
        <f t="shared" si="18"/>
        <v>WrnList_TireFastLeakWrn</v>
      </c>
      <c r="Q132" t="str">
        <f>IFERROR(VLOOKUP(B132,AppWarningConfig!E:K,7,FALSE),0)</f>
        <v>AUDM_nenTpmsLeak</v>
      </c>
      <c r="R132" s="2">
        <f t="shared" si="57"/>
        <v>5</v>
      </c>
      <c r="S132" s="41" t="str">
        <f t="shared" si="26"/>
        <v>trigger TireFastLeakWrn</v>
      </c>
      <c r="T132" s="41" t="str">
        <f t="shared" si="27"/>
        <v>cancel TireFastLeakWrn</v>
      </c>
    </row>
    <row r="133" spans="1:20">
      <c r="A133" s="16">
        <f t="shared" si="25"/>
        <v>132</v>
      </c>
      <c r="B133" s="23" t="s">
        <v>403</v>
      </c>
      <c r="C133" s="2" t="s">
        <v>6</v>
      </c>
      <c r="D133" s="14" t="s">
        <v>15</v>
      </c>
      <c r="E133" s="5" t="s">
        <v>813</v>
      </c>
      <c r="F133" s="17" t="s">
        <v>814</v>
      </c>
      <c r="G133" s="3">
        <v>2000</v>
      </c>
      <c r="H133" s="2">
        <v>70</v>
      </c>
      <c r="I133" s="5" t="s">
        <v>816</v>
      </c>
      <c r="J133" s="4">
        <v>3</v>
      </c>
      <c r="K133" s="2" t="s">
        <v>402</v>
      </c>
      <c r="L133" s="2" t="s">
        <v>4</v>
      </c>
      <c r="M133" s="4" t="str">
        <f t="shared" si="50"/>
        <v>Message_warning_icon_13</v>
      </c>
      <c r="N133" s="4" t="s">
        <v>1636</v>
      </c>
      <c r="O133" t="str">
        <f t="shared" si="17"/>
        <v>Wrn_TirePressHighWrn</v>
      </c>
      <c r="P133" s="2" t="str">
        <f t="shared" si="18"/>
        <v>WrnList_TirePressHighWrn</v>
      </c>
      <c r="Q133" t="str">
        <f>IFERROR(VLOOKUP(B133,AppWarningConfig!E:K,7,FALSE),0)</f>
        <v>AUDM_nenTpmsPres</v>
      </c>
      <c r="R133" s="2">
        <f t="shared" si="57"/>
        <v>3</v>
      </c>
      <c r="S133" s="41" t="str">
        <f t="shared" si="26"/>
        <v>trigger TirePressHighWrn</v>
      </c>
      <c r="T133" s="41" t="str">
        <f t="shared" si="27"/>
        <v>cancel TirePressHighWrn</v>
      </c>
    </row>
    <row r="134" spans="1:20">
      <c r="A134" s="16">
        <f t="shared" si="25"/>
        <v>133</v>
      </c>
      <c r="B134" s="23" t="s">
        <v>405</v>
      </c>
      <c r="C134" s="2" t="s">
        <v>6</v>
      </c>
      <c r="D134" s="14" t="s">
        <v>15</v>
      </c>
      <c r="E134" s="5" t="s">
        <v>813</v>
      </c>
      <c r="F134" s="17" t="s">
        <v>814</v>
      </c>
      <c r="G134" s="3">
        <v>2000</v>
      </c>
      <c r="H134" s="2">
        <v>70</v>
      </c>
      <c r="I134" s="5" t="s">
        <v>816</v>
      </c>
      <c r="J134" s="4">
        <v>3</v>
      </c>
      <c r="K134" s="2" t="s">
        <v>404</v>
      </c>
      <c r="L134" s="2" t="s">
        <v>4</v>
      </c>
      <c r="M134" s="4" t="str">
        <f t="shared" si="50"/>
        <v>Message_warning_icon_60</v>
      </c>
      <c r="N134" s="4" t="s">
        <v>672</v>
      </c>
      <c r="O134" t="str">
        <f t="shared" si="17"/>
        <v>Wrn_TPMSSensorErrorWrn</v>
      </c>
      <c r="P134" s="2" t="str">
        <f t="shared" si="18"/>
        <v>WrnList_TPMSSensorErrorWrn</v>
      </c>
      <c r="Q134" t="str">
        <f>IFERROR(VLOOKUP(B134,AppWarningConfig!E:K,7,FALSE),0)</f>
        <v>AUDM_nenLCDGong</v>
      </c>
      <c r="R134" s="2">
        <f t="shared" si="57"/>
        <v>18</v>
      </c>
      <c r="S134" s="41" t="str">
        <f t="shared" si="26"/>
        <v>trigger TPMSSensorErrorWrn</v>
      </c>
      <c r="T134" s="41" t="str">
        <f t="shared" si="27"/>
        <v>cancel TPMSSensorErrorWrn</v>
      </c>
    </row>
    <row r="135" spans="1:20">
      <c r="A135" s="16">
        <f t="shared" si="25"/>
        <v>134</v>
      </c>
      <c r="B135" s="23" t="s">
        <v>406</v>
      </c>
      <c r="C135" s="2" t="s">
        <v>6</v>
      </c>
      <c r="D135" s="14" t="s">
        <v>15</v>
      </c>
      <c r="E135" s="5" t="s">
        <v>813</v>
      </c>
      <c r="F135" s="17" t="s">
        <v>814</v>
      </c>
      <c r="G135" s="3">
        <v>2000</v>
      </c>
      <c r="H135" s="2">
        <v>70</v>
      </c>
      <c r="I135" s="5" t="s">
        <v>816</v>
      </c>
      <c r="J135" s="4">
        <v>3</v>
      </c>
      <c r="K135" s="2" t="s">
        <v>275</v>
      </c>
      <c r="L135" s="2" t="s">
        <v>4</v>
      </c>
      <c r="M135" s="4" t="str">
        <f t="shared" si="50"/>
        <v>Message_warning_icon_60</v>
      </c>
      <c r="N135" s="4" t="s">
        <v>672</v>
      </c>
      <c r="O135" t="str">
        <f t="shared" si="17"/>
        <v>Wrn_TPMSSignalErrorWrn</v>
      </c>
      <c r="P135" s="2" t="str">
        <f t="shared" ref="P135:P182" si="58">CONCATENATE("WrnList_",B135)</f>
        <v>WrnList_TPMSSignalErrorWrn</v>
      </c>
      <c r="Q135" t="str">
        <f>IFERROR(VLOOKUP(B135,AppWarningConfig!E:K,7,FALSE),0)</f>
        <v>AUDM_nenLCDGong</v>
      </c>
      <c r="R135" s="2">
        <f t="shared" si="57"/>
        <v>18</v>
      </c>
      <c r="S135" s="41" t="str">
        <f t="shared" si="26"/>
        <v>trigger TPMSSignalErrorWrn</v>
      </c>
      <c r="T135" s="41" t="str">
        <f t="shared" si="27"/>
        <v>cancel TPMSSignalErrorWrn</v>
      </c>
    </row>
    <row r="136" spans="1:20">
      <c r="A136" s="16">
        <f t="shared" si="25"/>
        <v>135</v>
      </c>
      <c r="B136" s="23" t="s">
        <v>408</v>
      </c>
      <c r="C136" s="2" t="s">
        <v>6</v>
      </c>
      <c r="D136" s="14" t="s">
        <v>15</v>
      </c>
      <c r="E136" s="5" t="s">
        <v>813</v>
      </c>
      <c r="F136" s="17" t="s">
        <v>814</v>
      </c>
      <c r="G136" s="3">
        <v>2000</v>
      </c>
      <c r="H136" s="2">
        <v>70</v>
      </c>
      <c r="I136" s="5" t="s">
        <v>816</v>
      </c>
      <c r="J136" s="4">
        <v>3</v>
      </c>
      <c r="K136" s="2" t="s">
        <v>407</v>
      </c>
      <c r="L136" s="2" t="s">
        <v>4</v>
      </c>
      <c r="M136" s="4" t="str">
        <f t="shared" si="50"/>
        <v>Message_warning_icon_74</v>
      </c>
      <c r="N136" s="4" t="s">
        <v>1538</v>
      </c>
      <c r="O136" t="str">
        <f t="shared" ref="O136:O182" si="59">CONCATENATE("Wrn_",B136)</f>
        <v>Wrn_TPMSSensorVolLowWrn</v>
      </c>
      <c r="P136" s="2" t="str">
        <f t="shared" si="58"/>
        <v>WrnList_TPMSSensorVolLowWrn</v>
      </c>
      <c r="Q136" t="str">
        <f>IFERROR(VLOOKUP(B136,AppWarningConfig!E:K,7,FALSE),0)</f>
        <v>AUDM_nenLCDGong</v>
      </c>
      <c r="R136" s="2">
        <f t="shared" si="57"/>
        <v>18</v>
      </c>
      <c r="S136" s="41" t="str">
        <f t="shared" si="26"/>
        <v>trigger TPMSSensorVolLowWrn</v>
      </c>
      <c r="T136" s="41" t="str">
        <f t="shared" si="27"/>
        <v>cancel TPMSSensorVolLowWrn</v>
      </c>
    </row>
    <row r="137" spans="1:20">
      <c r="A137" s="16">
        <f t="shared" ref="A137:A182" si="60">ROW()-1</f>
        <v>136</v>
      </c>
      <c r="B137" s="23" t="s">
        <v>410</v>
      </c>
      <c r="C137" s="2" t="s">
        <v>6</v>
      </c>
      <c r="D137" s="14" t="s">
        <v>15</v>
      </c>
      <c r="E137" s="5" t="s">
        <v>813</v>
      </c>
      <c r="F137" s="17" t="s">
        <v>814</v>
      </c>
      <c r="G137" s="3">
        <v>2000</v>
      </c>
      <c r="H137" s="2">
        <v>70</v>
      </c>
      <c r="I137" s="5" t="s">
        <v>816</v>
      </c>
      <c r="J137" s="4">
        <v>3</v>
      </c>
      <c r="K137" s="2" t="s">
        <v>409</v>
      </c>
      <c r="L137" s="2" t="s">
        <v>4</v>
      </c>
      <c r="M137" s="4" t="str">
        <f t="shared" si="50"/>
        <v>Message_warning_icon_72</v>
      </c>
      <c r="N137" s="4" t="s">
        <v>1537</v>
      </c>
      <c r="O137" t="str">
        <f t="shared" si="59"/>
        <v>Wrn_TPMSDisableWrn</v>
      </c>
      <c r="P137" s="2" t="str">
        <f t="shared" si="58"/>
        <v>WrnList_TPMSDisableWrn</v>
      </c>
      <c r="Q137" t="str">
        <f>IFERROR(VLOOKUP(B137,AppWarningConfig!E:K,7,FALSE),0)</f>
        <v>AUDM_nenLCDGong</v>
      </c>
      <c r="R137" s="2">
        <f t="shared" si="57"/>
        <v>18</v>
      </c>
      <c r="S137" s="41" t="str">
        <f t="shared" si="26"/>
        <v>trigger TPMSDisableWrn</v>
      </c>
      <c r="T137" s="41" t="str">
        <f t="shared" si="27"/>
        <v>cancel TPMSDisableWrn</v>
      </c>
    </row>
    <row r="138" spans="1:20">
      <c r="A138" s="16">
        <f t="shared" si="60"/>
        <v>137</v>
      </c>
      <c r="B138" s="28" t="s">
        <v>412</v>
      </c>
      <c r="C138" s="2" t="s">
        <v>6</v>
      </c>
      <c r="D138" s="14" t="s">
        <v>15</v>
      </c>
      <c r="E138" s="5" t="s">
        <v>813</v>
      </c>
      <c r="F138" s="17" t="s">
        <v>814</v>
      </c>
      <c r="G138" s="3">
        <v>2000</v>
      </c>
      <c r="H138" s="2">
        <v>70</v>
      </c>
      <c r="I138" s="5" t="s">
        <v>816</v>
      </c>
      <c r="J138" s="4">
        <v>3</v>
      </c>
      <c r="K138" s="2" t="s">
        <v>485</v>
      </c>
      <c r="L138" s="2" t="s">
        <v>4</v>
      </c>
      <c r="M138" s="4" t="str">
        <f t="shared" si="44"/>
        <v>Message_warning_icon_61</v>
      </c>
      <c r="N138" s="4" t="s">
        <v>647</v>
      </c>
      <c r="O138" t="str">
        <f t="shared" si="59"/>
        <v>Wrn_ParkFailWrn</v>
      </c>
      <c r="P138" s="2" t="str">
        <f t="shared" si="58"/>
        <v>WrnList_ParkFailWrn</v>
      </c>
      <c r="Q138" t="str">
        <f>IFERROR(VLOOKUP(B138,AppWarningConfig!E:K,7,FALSE),0)</f>
        <v>AUDM_nenLCDGong</v>
      </c>
      <c r="R138" s="2">
        <f t="shared" si="57"/>
        <v>18</v>
      </c>
      <c r="S138" s="41" t="str">
        <f t="shared" si="26"/>
        <v>trigger ParkFailWrn</v>
      </c>
      <c r="T138" s="41" t="str">
        <f t="shared" si="27"/>
        <v>cancel ParkFailWrn</v>
      </c>
    </row>
    <row r="139" spans="1:20">
      <c r="A139" s="16">
        <f t="shared" si="60"/>
        <v>138</v>
      </c>
      <c r="B139" s="23" t="s">
        <v>414</v>
      </c>
      <c r="C139" s="2" t="s">
        <v>6</v>
      </c>
      <c r="D139" s="14" t="s">
        <v>15</v>
      </c>
      <c r="E139" s="5" t="s">
        <v>813</v>
      </c>
      <c r="F139" s="17" t="s">
        <v>814</v>
      </c>
      <c r="G139" s="3">
        <v>2000</v>
      </c>
      <c r="H139" s="2">
        <v>70</v>
      </c>
      <c r="I139" s="5" t="s">
        <v>816</v>
      </c>
      <c r="J139" s="4">
        <v>3</v>
      </c>
      <c r="K139" s="2" t="s">
        <v>486</v>
      </c>
      <c r="L139" s="2" t="s">
        <v>4</v>
      </c>
      <c r="M139" s="4" t="str">
        <f t="shared" si="44"/>
        <v>Message_warning_icon_42</v>
      </c>
      <c r="N139" s="21" t="s">
        <v>673</v>
      </c>
      <c r="O139" t="str">
        <f t="shared" si="59"/>
        <v>Wrn_MILRequestWrn</v>
      </c>
      <c r="P139" s="2" t="str">
        <f t="shared" si="58"/>
        <v>WrnList_MILRequestWrn</v>
      </c>
      <c r="Q139" t="str">
        <f>IFERROR(VLOOKUP(B139,AppWarningConfig!E:K,7,FALSE),0)</f>
        <v>AUDM_nenLCDGong</v>
      </c>
      <c r="R139" s="2">
        <f t="shared" si="57"/>
        <v>18</v>
      </c>
      <c r="S139" s="41" t="str">
        <f t="shared" si="26"/>
        <v>trigger MILRequestWrn</v>
      </c>
      <c r="T139" s="41" t="str">
        <f t="shared" si="27"/>
        <v>cancel MILRequestWrn</v>
      </c>
    </row>
    <row r="140" spans="1:20">
      <c r="A140" s="16">
        <f t="shared" si="60"/>
        <v>139</v>
      </c>
      <c r="B140" s="23" t="s">
        <v>416</v>
      </c>
      <c r="C140" s="2" t="s">
        <v>6</v>
      </c>
      <c r="D140" s="14" t="s">
        <v>15</v>
      </c>
      <c r="E140" s="5" t="s">
        <v>813</v>
      </c>
      <c r="F140" s="17" t="s">
        <v>814</v>
      </c>
      <c r="G140" s="3">
        <v>2000</v>
      </c>
      <c r="H140" s="2">
        <v>70</v>
      </c>
      <c r="I140" s="5" t="s">
        <v>816</v>
      </c>
      <c r="J140" s="4">
        <v>3</v>
      </c>
      <c r="K140" s="2" t="s">
        <v>415</v>
      </c>
      <c r="L140" s="2" t="s">
        <v>4</v>
      </c>
      <c r="M140" s="4" t="str">
        <f t="shared" si="44"/>
        <v>Message_warning_icon_26</v>
      </c>
      <c r="N140" s="21" t="s">
        <v>674</v>
      </c>
      <c r="O140" t="str">
        <f t="shared" si="59"/>
        <v>Wrn_BrakeFuelLowWrn</v>
      </c>
      <c r="P140" s="2" t="str">
        <f t="shared" si="58"/>
        <v>WrnList_BrakeFuelLowWrn</v>
      </c>
      <c r="Q140" t="str">
        <f>IFERROR(VLOOKUP(B140,AppWarningConfig!E:K,7,FALSE),0)</f>
        <v>AUDM_nenLCDGong</v>
      </c>
      <c r="R140" s="2">
        <f t="shared" si="57"/>
        <v>18</v>
      </c>
      <c r="S140" s="41" t="str">
        <f t="shared" si="26"/>
        <v>trigger BrakeFuelLowWrn</v>
      </c>
      <c r="T140" s="41" t="str">
        <f t="shared" si="27"/>
        <v>cancel BrakeFuelLowWrn</v>
      </c>
    </row>
    <row r="141" spans="1:20">
      <c r="A141" s="16">
        <f t="shared" si="60"/>
        <v>140</v>
      </c>
      <c r="B141" s="23" t="s">
        <v>418</v>
      </c>
      <c r="C141" s="2" t="s">
        <v>6</v>
      </c>
      <c r="D141" s="14" t="s">
        <v>15</v>
      </c>
      <c r="E141" s="5" t="s">
        <v>813</v>
      </c>
      <c r="F141" s="17" t="s">
        <v>814</v>
      </c>
      <c r="G141" s="3">
        <v>2000</v>
      </c>
      <c r="H141" s="2">
        <v>70</v>
      </c>
      <c r="I141" s="5" t="s">
        <v>816</v>
      </c>
      <c r="J141" s="4">
        <v>3</v>
      </c>
      <c r="K141" s="2" t="s">
        <v>417</v>
      </c>
      <c r="L141" s="2" t="s">
        <v>4</v>
      </c>
      <c r="M141" s="4" t="str">
        <f t="shared" si="44"/>
        <v>Message_warning_icon_64</v>
      </c>
      <c r="N141" s="21" t="s">
        <v>675</v>
      </c>
      <c r="O141" t="str">
        <f t="shared" si="59"/>
        <v>Wrn_OilPressLowWrn</v>
      </c>
      <c r="P141" s="2" t="str">
        <f t="shared" si="58"/>
        <v>WrnList_OilPressLowWrn</v>
      </c>
      <c r="Q141" t="str">
        <f>IFERROR(VLOOKUP(B141,AppWarningConfig!E:K,7,FALSE),0)</f>
        <v>AUDM_nenOilPreLow</v>
      </c>
      <c r="R141" s="2">
        <f t="shared" si="57"/>
        <v>10</v>
      </c>
      <c r="S141" s="41" t="str">
        <f t="shared" si="26"/>
        <v>trigger OilPressLowWrn</v>
      </c>
      <c r="T141" s="41" t="str">
        <f t="shared" si="27"/>
        <v>cancel OilPressLowWrn</v>
      </c>
    </row>
    <row r="142" spans="1:20">
      <c r="A142" s="16">
        <f t="shared" si="60"/>
        <v>141</v>
      </c>
      <c r="B142" s="23" t="s">
        <v>420</v>
      </c>
      <c r="C142" s="2" t="s">
        <v>6</v>
      </c>
      <c r="D142" s="14" t="s">
        <v>15</v>
      </c>
      <c r="E142" s="5" t="s">
        <v>813</v>
      </c>
      <c r="F142" s="17" t="s">
        <v>814</v>
      </c>
      <c r="G142" s="3">
        <v>2000</v>
      </c>
      <c r="H142" s="2">
        <v>70</v>
      </c>
      <c r="I142" s="5" t="s">
        <v>816</v>
      </c>
      <c r="J142" s="4">
        <v>3</v>
      </c>
      <c r="K142" s="2" t="s">
        <v>472</v>
      </c>
      <c r="L142" s="2" t="s">
        <v>4</v>
      </c>
      <c r="M142" s="4" t="str">
        <f t="shared" si="44"/>
        <v>Message_warning_icon_11</v>
      </c>
      <c r="N142" s="21" t="s">
        <v>676</v>
      </c>
      <c r="O142" t="str">
        <f t="shared" si="59"/>
        <v>Wrn_OverSpeedWrn</v>
      </c>
      <c r="P142" s="2" t="str">
        <f t="shared" si="58"/>
        <v>WrnList_OverSpeedWrn</v>
      </c>
      <c r="Q142" t="str">
        <f>IFERROR(VLOOKUP(B142,AppWarningConfig!E:K,7,FALSE),0)</f>
        <v>AUDM_nenOverSpeed</v>
      </c>
      <c r="R142" s="2">
        <f t="shared" si="57"/>
        <v>12</v>
      </c>
      <c r="S142" s="41" t="str">
        <f t="shared" si="26"/>
        <v>trigger OverSpeedWrn</v>
      </c>
      <c r="T142" s="41" t="str">
        <f t="shared" si="27"/>
        <v>cancel OverSpeedWrn</v>
      </c>
    </row>
    <row r="143" spans="1:20">
      <c r="A143" s="16">
        <f t="shared" si="60"/>
        <v>142</v>
      </c>
      <c r="B143" s="43" t="s">
        <v>422</v>
      </c>
      <c r="C143" s="2" t="s">
        <v>6</v>
      </c>
      <c r="D143" s="14" t="s">
        <v>15</v>
      </c>
      <c r="E143" s="5" t="s">
        <v>813</v>
      </c>
      <c r="F143" s="17" t="s">
        <v>814</v>
      </c>
      <c r="G143" s="3">
        <v>2000</v>
      </c>
      <c r="H143" s="2">
        <v>70</v>
      </c>
      <c r="I143" s="5" t="s">
        <v>816</v>
      </c>
      <c r="J143" s="4">
        <v>3</v>
      </c>
      <c r="K143" s="2" t="s">
        <v>421</v>
      </c>
      <c r="L143" s="2" t="s">
        <v>4</v>
      </c>
      <c r="M143" s="4" t="str">
        <f t="shared" si="44"/>
        <v>Message_warning_icon_12</v>
      </c>
      <c r="N143" s="21" t="s">
        <v>677</v>
      </c>
      <c r="O143" t="str">
        <f t="shared" si="59"/>
        <v>Wrn_BatteryLowWrn</v>
      </c>
      <c r="P143" s="2" t="str">
        <f t="shared" si="58"/>
        <v>WrnList_BatteryLowWrn</v>
      </c>
      <c r="Q143">
        <f>IFERROR(VLOOKUP(B143,AppWarningConfig!E:K,7,FALSE),0)</f>
        <v>0</v>
      </c>
      <c r="R143" s="2">
        <f t="shared" si="57"/>
        <v>256</v>
      </c>
      <c r="S143" s="41" t="str">
        <f t="shared" si="26"/>
        <v>trigger BatteryLowWrn</v>
      </c>
      <c r="T143" s="41" t="str">
        <f t="shared" si="27"/>
        <v>cancel BatteryLowWrn</v>
      </c>
    </row>
    <row r="144" spans="1:20">
      <c r="A144" s="16">
        <f t="shared" si="60"/>
        <v>143</v>
      </c>
      <c r="B144" s="23" t="s">
        <v>424</v>
      </c>
      <c r="C144" s="2" t="s">
        <v>6</v>
      </c>
      <c r="D144" s="14" t="s">
        <v>15</v>
      </c>
      <c r="E144" s="5" t="s">
        <v>813</v>
      </c>
      <c r="F144" s="17" t="s">
        <v>814</v>
      </c>
      <c r="G144" s="3">
        <v>2000</v>
      </c>
      <c r="H144" s="2">
        <v>70</v>
      </c>
      <c r="I144" s="5" t="s">
        <v>816</v>
      </c>
      <c r="J144" s="4">
        <v>3</v>
      </c>
      <c r="K144" s="2" t="s">
        <v>423</v>
      </c>
      <c r="L144" s="2" t="s">
        <v>4</v>
      </c>
      <c r="M144" s="4" t="str">
        <f t="shared" si="44"/>
        <v>Message_warning_icon_65</v>
      </c>
      <c r="N144" s="21" t="s">
        <v>1632</v>
      </c>
      <c r="O144" t="str">
        <f t="shared" si="59"/>
        <v>Wrn_BrakeNotReleaseWrn</v>
      </c>
      <c r="P144" s="2" t="str">
        <f t="shared" si="58"/>
        <v>WrnList_BrakeNotReleaseWrn</v>
      </c>
      <c r="Q144" t="str">
        <f>IFERROR(VLOOKUP(B144,AppWarningConfig!E:K,7,FALSE),0)</f>
        <v>AUDM_nenHandBrake</v>
      </c>
      <c r="R144" s="2">
        <f t="shared" si="57"/>
        <v>17</v>
      </c>
      <c r="S144" s="41" t="str">
        <f t="shared" si="26"/>
        <v>trigger BrakeNotReleaseWrn</v>
      </c>
      <c r="T144" s="41" t="str">
        <f t="shared" si="27"/>
        <v>cancel BrakeNotReleaseWrn</v>
      </c>
    </row>
    <row r="145" spans="1:20">
      <c r="A145" s="16">
        <f t="shared" si="60"/>
        <v>144</v>
      </c>
      <c r="B145" s="23" t="s">
        <v>426</v>
      </c>
      <c r="C145" s="2" t="s">
        <v>6</v>
      </c>
      <c r="D145" s="14" t="s">
        <v>15</v>
      </c>
      <c r="E145" s="5" t="s">
        <v>813</v>
      </c>
      <c r="F145" s="17" t="s">
        <v>814</v>
      </c>
      <c r="G145" s="3">
        <v>2000</v>
      </c>
      <c r="H145" s="2">
        <v>70</v>
      </c>
      <c r="I145" s="5" t="s">
        <v>816</v>
      </c>
      <c r="J145" s="4">
        <v>3</v>
      </c>
      <c r="K145" s="2" t="s">
        <v>425</v>
      </c>
      <c r="L145" s="2" t="s">
        <v>4</v>
      </c>
      <c r="M145" s="4" t="str">
        <f t="shared" ref="M145:M165" si="61">CONCATENATE("Message_",N145)</f>
        <v>Message_warning_icon_7</v>
      </c>
      <c r="N145" s="21" t="s">
        <v>678</v>
      </c>
      <c r="O145" t="str">
        <f t="shared" si="59"/>
        <v>Wrn_HighCoolantWrn</v>
      </c>
      <c r="P145" s="2" t="str">
        <f t="shared" si="58"/>
        <v>WrnList_HighCoolantWrn</v>
      </c>
      <c r="Q145" t="str">
        <f>IFERROR(VLOOKUP(B145,AppWarningConfig!E:K,7,FALSE),0)</f>
        <v>AUDM_nenLCDGong</v>
      </c>
      <c r="R145" s="2">
        <f t="shared" si="57"/>
        <v>18</v>
      </c>
      <c r="S145" s="41" t="str">
        <f t="shared" ref="S145:S182" si="62" xml:space="preserve"> CONCATENATE("trigger ",B145)</f>
        <v>trigger HighCoolantWrn</v>
      </c>
      <c r="T145" s="41" t="str">
        <f t="shared" ref="T145:T182" si="63" xml:space="preserve"> CONCATENATE("cancel ",B145)</f>
        <v>cancel HighCoolantWrn</v>
      </c>
    </row>
    <row r="146" spans="1:20">
      <c r="A146" s="16">
        <f t="shared" si="60"/>
        <v>145</v>
      </c>
      <c r="B146" s="23" t="s">
        <v>428</v>
      </c>
      <c r="C146" s="2" t="s">
        <v>6</v>
      </c>
      <c r="D146" s="14" t="s">
        <v>15</v>
      </c>
      <c r="E146" s="5" t="s">
        <v>813</v>
      </c>
      <c r="F146" s="17" t="s">
        <v>814</v>
      </c>
      <c r="G146" s="3">
        <v>2000</v>
      </c>
      <c r="H146" s="2">
        <v>70</v>
      </c>
      <c r="I146" s="5" t="s">
        <v>816</v>
      </c>
      <c r="J146" s="4">
        <v>3</v>
      </c>
      <c r="K146" s="2" t="s">
        <v>427</v>
      </c>
      <c r="L146" s="2" t="s">
        <v>4</v>
      </c>
      <c r="M146" s="4" t="str">
        <f t="shared" si="61"/>
        <v>Message_warning_icon_31</v>
      </c>
      <c r="N146" s="21" t="s">
        <v>679</v>
      </c>
      <c r="O146" t="str">
        <f t="shared" si="59"/>
        <v>Wrn_AirbagErrorWrn</v>
      </c>
      <c r="P146" s="2" t="str">
        <f t="shared" si="58"/>
        <v>WrnList_AirbagErrorWrn</v>
      </c>
      <c r="Q146" t="str">
        <f>IFERROR(VLOOKUP(B146,AppWarningConfig!E:K,7,FALSE),0)</f>
        <v>AUDM_nenLCDGong</v>
      </c>
      <c r="R146" s="2">
        <f t="shared" si="57"/>
        <v>18</v>
      </c>
      <c r="S146" s="41" t="str">
        <f t="shared" si="62"/>
        <v>trigger AirbagErrorWrn</v>
      </c>
      <c r="T146" s="41" t="str">
        <f t="shared" si="63"/>
        <v>cancel AirbagErrorWrn</v>
      </c>
    </row>
    <row r="147" spans="1:20">
      <c r="A147" s="16">
        <f t="shared" si="60"/>
        <v>146</v>
      </c>
      <c r="B147" s="23" t="s">
        <v>430</v>
      </c>
      <c r="C147" s="2" t="s">
        <v>6</v>
      </c>
      <c r="D147" s="14" t="s">
        <v>15</v>
      </c>
      <c r="E147" s="5" t="s">
        <v>813</v>
      </c>
      <c r="F147" s="17" t="s">
        <v>814</v>
      </c>
      <c r="G147" s="3">
        <v>2000</v>
      </c>
      <c r="H147" s="2">
        <v>70</v>
      </c>
      <c r="I147" s="5" t="s">
        <v>816</v>
      </c>
      <c r="J147" s="4">
        <v>3</v>
      </c>
      <c r="K147" s="2" t="s">
        <v>429</v>
      </c>
      <c r="L147" s="2" t="s">
        <v>4</v>
      </c>
      <c r="M147" s="4" t="str">
        <f t="shared" si="61"/>
        <v>Message_warning_icon_70</v>
      </c>
      <c r="N147" s="21" t="s">
        <v>680</v>
      </c>
      <c r="O147" t="str">
        <f t="shared" si="59"/>
        <v>Wrn_TCUWarningYellowWrn</v>
      </c>
      <c r="P147" s="2" t="str">
        <f t="shared" si="58"/>
        <v>WrnList_TCUWarningYellowWrn</v>
      </c>
      <c r="Q147" t="str">
        <f>IFERROR(VLOOKUP(B147,AppWarningConfig!E:K,7,FALSE),0)</f>
        <v>AUDM_nenLCDGong</v>
      </c>
      <c r="R147" s="2">
        <f t="shared" si="57"/>
        <v>18</v>
      </c>
      <c r="S147" s="41" t="str">
        <f t="shared" si="62"/>
        <v>trigger TCUWarningYellowWrn</v>
      </c>
      <c r="T147" s="41" t="str">
        <f t="shared" si="63"/>
        <v>cancel TCUWarningYellowWrn</v>
      </c>
    </row>
    <row r="148" spans="1:20">
      <c r="A148" s="16">
        <f t="shared" si="60"/>
        <v>147</v>
      </c>
      <c r="B148" s="23" t="s">
        <v>432</v>
      </c>
      <c r="C148" s="2" t="s">
        <v>6</v>
      </c>
      <c r="D148" s="14" t="s">
        <v>15</v>
      </c>
      <c r="E148" s="5" t="s">
        <v>813</v>
      </c>
      <c r="F148" s="17" t="s">
        <v>814</v>
      </c>
      <c r="G148" s="3">
        <v>2000</v>
      </c>
      <c r="H148" s="2">
        <v>70</v>
      </c>
      <c r="I148" s="5" t="s">
        <v>816</v>
      </c>
      <c r="J148" s="4">
        <v>3</v>
      </c>
      <c r="K148" s="2" t="s">
        <v>431</v>
      </c>
      <c r="L148" s="2" t="s">
        <v>4</v>
      </c>
      <c r="M148" s="4" t="str">
        <f t="shared" si="61"/>
        <v>Message_warning_icon_70</v>
      </c>
      <c r="N148" s="21" t="s">
        <v>680</v>
      </c>
      <c r="O148" t="str">
        <f t="shared" si="59"/>
        <v>Wrn_TCUWarningRedWrn</v>
      </c>
      <c r="P148" s="2" t="str">
        <f t="shared" si="58"/>
        <v>WrnList_TCUWarningRedWrn</v>
      </c>
      <c r="Q148" t="str">
        <f>IFERROR(VLOOKUP(B148,AppWarningConfig!E:K,7,FALSE),0)</f>
        <v>AUDM_nenLCDGong</v>
      </c>
      <c r="R148" s="2">
        <f t="shared" si="57"/>
        <v>18</v>
      </c>
      <c r="S148" s="41" t="str">
        <f t="shared" si="62"/>
        <v>trigger TCUWarningRedWrn</v>
      </c>
      <c r="T148" s="41" t="str">
        <f t="shared" si="63"/>
        <v>cancel TCUWarningRedWrn</v>
      </c>
    </row>
    <row r="149" spans="1:20">
      <c r="A149" s="16">
        <f t="shared" si="60"/>
        <v>148</v>
      </c>
      <c r="B149" s="23" t="s">
        <v>434</v>
      </c>
      <c r="C149" s="2" t="s">
        <v>6</v>
      </c>
      <c r="D149" s="14" t="s">
        <v>15</v>
      </c>
      <c r="E149" s="5" t="s">
        <v>813</v>
      </c>
      <c r="F149" s="17" t="s">
        <v>814</v>
      </c>
      <c r="G149" s="3">
        <v>2000</v>
      </c>
      <c r="H149" s="2">
        <v>70</v>
      </c>
      <c r="I149" s="5" t="s">
        <v>816</v>
      </c>
      <c r="J149" s="4">
        <v>3</v>
      </c>
      <c r="K149" s="2" t="s">
        <v>433</v>
      </c>
      <c r="L149" s="2" t="s">
        <v>4</v>
      </c>
      <c r="M149" s="4" t="str">
        <f t="shared" si="61"/>
        <v>Message_warning_icon_24</v>
      </c>
      <c r="N149" s="21" t="s">
        <v>681</v>
      </c>
      <c r="O149" t="str">
        <f t="shared" si="59"/>
        <v>Wrn_EpasFailWrn</v>
      </c>
      <c r="P149" s="2" t="str">
        <f t="shared" si="58"/>
        <v>WrnList_EpasFailWrn</v>
      </c>
      <c r="Q149" t="str">
        <f>IFERROR(VLOOKUP(B149,AppWarningConfig!E:K,7,FALSE),0)</f>
        <v>AUDM_nenLCDGong</v>
      </c>
      <c r="R149" s="2">
        <f t="shared" si="57"/>
        <v>18</v>
      </c>
      <c r="S149" s="41" t="str">
        <f t="shared" si="62"/>
        <v>trigger EpasFailWrn</v>
      </c>
      <c r="T149" s="41" t="str">
        <f t="shared" si="63"/>
        <v>cancel EpasFailWrn</v>
      </c>
    </row>
    <row r="150" spans="1:20">
      <c r="A150" s="16">
        <f t="shared" si="60"/>
        <v>149</v>
      </c>
      <c r="B150" s="23" t="s">
        <v>436</v>
      </c>
      <c r="C150" s="2" t="s">
        <v>6</v>
      </c>
      <c r="D150" s="14" t="s">
        <v>15</v>
      </c>
      <c r="E150" s="5" t="s">
        <v>813</v>
      </c>
      <c r="F150" s="17" t="s">
        <v>814</v>
      </c>
      <c r="G150" s="3">
        <v>2000</v>
      </c>
      <c r="H150" s="2">
        <v>70</v>
      </c>
      <c r="I150" s="5" t="s">
        <v>816</v>
      </c>
      <c r="J150" s="4">
        <v>3</v>
      </c>
      <c r="K150" s="2" t="s">
        <v>435</v>
      </c>
      <c r="L150" s="2" t="s">
        <v>4</v>
      </c>
      <c r="M150" s="4" t="str">
        <f t="shared" si="61"/>
        <v>Message_warning_icon_49</v>
      </c>
      <c r="N150" s="21" t="s">
        <v>1639</v>
      </c>
      <c r="O150" t="str">
        <f t="shared" si="59"/>
        <v>Wrn_EPBErrorWrn</v>
      </c>
      <c r="P150" s="2" t="str">
        <f t="shared" si="58"/>
        <v>WrnList_EPBErrorWrn</v>
      </c>
      <c r="Q150" t="str">
        <f>IFERROR(VLOOKUP(B150,AppWarningConfig!E:K,7,FALSE),0)</f>
        <v>AUDM_nenEPBError</v>
      </c>
      <c r="R150" s="2">
        <f t="shared" si="57"/>
        <v>11</v>
      </c>
      <c r="S150" s="41" t="str">
        <f t="shared" si="62"/>
        <v>trigger EPBErrorWrn</v>
      </c>
      <c r="T150" s="41" t="str">
        <f t="shared" si="63"/>
        <v>cancel EPBErrorWrn</v>
      </c>
    </row>
    <row r="151" spans="1:20">
      <c r="A151" s="16">
        <f t="shared" si="60"/>
        <v>150</v>
      </c>
      <c r="B151" s="23" t="s">
        <v>438</v>
      </c>
      <c r="C151" s="2" t="s">
        <v>6</v>
      </c>
      <c r="D151" s="14" t="s">
        <v>15</v>
      </c>
      <c r="E151" s="5" t="s">
        <v>813</v>
      </c>
      <c r="F151" s="17" t="s">
        <v>814</v>
      </c>
      <c r="G151" s="3">
        <v>2000</v>
      </c>
      <c r="H151" s="2">
        <v>70</v>
      </c>
      <c r="I151" s="5" t="s">
        <v>816</v>
      </c>
      <c r="J151" s="4">
        <v>3</v>
      </c>
      <c r="K151" s="2" t="s">
        <v>437</v>
      </c>
      <c r="L151" s="2" t="s">
        <v>4</v>
      </c>
      <c r="M151" s="4" t="str">
        <f t="shared" si="61"/>
        <v>Message_warning_icon_43</v>
      </c>
      <c r="N151" s="21" t="s">
        <v>682</v>
      </c>
      <c r="O151" t="str">
        <f t="shared" si="59"/>
        <v>Wrn_AVHErrorWrn</v>
      </c>
      <c r="P151" s="2" t="str">
        <f t="shared" si="58"/>
        <v>WrnList_AVHErrorWrn</v>
      </c>
      <c r="Q151" t="str">
        <f>IFERROR(VLOOKUP(B151,AppWarningConfig!E:K,7,FALSE),0)</f>
        <v>AUDM_nenLCDGong</v>
      </c>
      <c r="R151" s="2">
        <f t="shared" si="57"/>
        <v>18</v>
      </c>
      <c r="S151" s="41" t="str">
        <f t="shared" si="62"/>
        <v>trigger AVHErrorWrn</v>
      </c>
      <c r="T151" s="41" t="str">
        <f t="shared" si="63"/>
        <v>cancel AVHErrorWrn</v>
      </c>
    </row>
    <row r="152" spans="1:20">
      <c r="A152" s="16">
        <f t="shared" si="60"/>
        <v>151</v>
      </c>
      <c r="B152" s="23" t="s">
        <v>440</v>
      </c>
      <c r="C152" s="2" t="s">
        <v>6</v>
      </c>
      <c r="D152" s="14" t="s">
        <v>15</v>
      </c>
      <c r="E152" s="5" t="s">
        <v>813</v>
      </c>
      <c r="F152" s="17" t="s">
        <v>814</v>
      </c>
      <c r="G152" s="3">
        <v>2000</v>
      </c>
      <c r="H152" s="2">
        <v>70</v>
      </c>
      <c r="I152" s="5" t="s">
        <v>816</v>
      </c>
      <c r="J152" s="4">
        <v>3</v>
      </c>
      <c r="K152" s="2" t="s">
        <v>439</v>
      </c>
      <c r="L152" s="2" t="s">
        <v>4</v>
      </c>
      <c r="M152" s="4" t="str">
        <f t="shared" si="61"/>
        <v>Message_warning_icon_14</v>
      </c>
      <c r="N152" s="2" t="s">
        <v>683</v>
      </c>
      <c r="O152" t="str">
        <f t="shared" si="59"/>
        <v>Wrn_ParkBreakFailWrn</v>
      </c>
      <c r="P152" s="2" t="str">
        <f t="shared" si="58"/>
        <v>WrnList_ParkBreakFailWrn</v>
      </c>
      <c r="Q152" t="str">
        <f>IFERROR(VLOOKUP(B152,AppWarningConfig!E:K,7,FALSE),0)</f>
        <v>AUDM_nenLCDGong</v>
      </c>
      <c r="R152" s="2">
        <f t="shared" si="57"/>
        <v>18</v>
      </c>
      <c r="S152" s="41" t="str">
        <f t="shared" si="62"/>
        <v>trigger ParkBreakFailWrn</v>
      </c>
      <c r="T152" s="41" t="str">
        <f t="shared" si="63"/>
        <v>cancel ParkBreakFailWrn</v>
      </c>
    </row>
    <row r="153" spans="1:20">
      <c r="A153" s="16">
        <f t="shared" si="60"/>
        <v>152</v>
      </c>
      <c r="B153" s="23" t="s">
        <v>442</v>
      </c>
      <c r="C153" s="2" t="s">
        <v>6</v>
      </c>
      <c r="D153" s="14" t="s">
        <v>15</v>
      </c>
      <c r="E153" s="5" t="s">
        <v>813</v>
      </c>
      <c r="F153" s="17" t="s">
        <v>814</v>
      </c>
      <c r="G153" s="3">
        <v>2000</v>
      </c>
      <c r="H153" s="2">
        <v>70</v>
      </c>
      <c r="I153" s="5" t="s">
        <v>816</v>
      </c>
      <c r="J153" s="4">
        <v>3</v>
      </c>
      <c r="K153" s="2" t="s">
        <v>441</v>
      </c>
      <c r="L153" s="2" t="s">
        <v>4</v>
      </c>
      <c r="M153" s="4" t="str">
        <f t="shared" si="61"/>
        <v>Message_warning_icon_50</v>
      </c>
      <c r="N153" s="21" t="s">
        <v>684</v>
      </c>
      <c r="O153" t="str">
        <f t="shared" si="59"/>
        <v>Wrn_EBDFailWrn</v>
      </c>
      <c r="P153" s="2" t="str">
        <f t="shared" si="58"/>
        <v>WrnList_EBDFailWrn</v>
      </c>
      <c r="Q153" t="str">
        <f>IFERROR(VLOOKUP(B153,AppWarningConfig!E:K,7,FALSE),0)</f>
        <v>AUDM_nenLCDGong</v>
      </c>
      <c r="R153" s="2">
        <f t="shared" si="57"/>
        <v>18</v>
      </c>
      <c r="S153" s="41" t="str">
        <f t="shared" si="62"/>
        <v>trigger EBDFailWrn</v>
      </c>
      <c r="T153" s="41" t="str">
        <f t="shared" si="63"/>
        <v>cancel EBDFailWrn</v>
      </c>
    </row>
    <row r="154" spans="1:20">
      <c r="A154" s="16">
        <f t="shared" si="60"/>
        <v>153</v>
      </c>
      <c r="B154" s="23" t="s">
        <v>444</v>
      </c>
      <c r="C154" s="2" t="s">
        <v>6</v>
      </c>
      <c r="D154" s="14" t="s">
        <v>15</v>
      </c>
      <c r="E154" s="5" t="s">
        <v>813</v>
      </c>
      <c r="F154" s="17" t="s">
        <v>814</v>
      </c>
      <c r="G154" s="3">
        <v>2000</v>
      </c>
      <c r="H154" s="2">
        <v>70</v>
      </c>
      <c r="I154" s="5" t="s">
        <v>816</v>
      </c>
      <c r="J154" s="4">
        <v>3</v>
      </c>
      <c r="K154" s="2" t="s">
        <v>443</v>
      </c>
      <c r="L154" s="2" t="s">
        <v>4</v>
      </c>
      <c r="M154" s="4" t="str">
        <f t="shared" si="61"/>
        <v>Message_warning_icon_45</v>
      </c>
      <c r="N154" s="21" t="s">
        <v>685</v>
      </c>
      <c r="O154" t="str">
        <f t="shared" si="59"/>
        <v>Wrn_EBDDisableWrn</v>
      </c>
      <c r="P154" s="2" t="str">
        <f t="shared" si="58"/>
        <v>WrnList_EBDDisableWrn</v>
      </c>
      <c r="Q154" t="str">
        <f>IFERROR(VLOOKUP(B154,AppWarningConfig!E:K,7,FALSE),0)</f>
        <v>AUDM_nenLCDGong</v>
      </c>
      <c r="R154" s="2">
        <f t="shared" si="57"/>
        <v>18</v>
      </c>
      <c r="S154" s="41" t="str">
        <f t="shared" si="62"/>
        <v>trigger EBDDisableWrn</v>
      </c>
      <c r="T154" s="41" t="str">
        <f t="shared" si="63"/>
        <v>cancel EBDDisableWrn</v>
      </c>
    </row>
    <row r="155" spans="1:20">
      <c r="A155" s="16">
        <f t="shared" si="60"/>
        <v>154</v>
      </c>
      <c r="B155" s="23" t="s">
        <v>446</v>
      </c>
      <c r="C155" s="2" t="s">
        <v>6</v>
      </c>
      <c r="D155" s="14" t="s">
        <v>15</v>
      </c>
      <c r="E155" s="5" t="s">
        <v>813</v>
      </c>
      <c r="F155" s="17" t="s">
        <v>814</v>
      </c>
      <c r="G155" s="3">
        <v>2000</v>
      </c>
      <c r="H155" s="2">
        <v>70</v>
      </c>
      <c r="I155" s="5" t="s">
        <v>816</v>
      </c>
      <c r="J155" s="4">
        <v>3</v>
      </c>
      <c r="K155" s="2" t="s">
        <v>445</v>
      </c>
      <c r="L155" s="2" t="s">
        <v>4</v>
      </c>
      <c r="M155" s="4" t="str">
        <f t="shared" si="61"/>
        <v>Message_warning_icon_18</v>
      </c>
      <c r="N155" s="21" t="s">
        <v>686</v>
      </c>
      <c r="O155" t="str">
        <f t="shared" si="59"/>
        <v>Wrn_HHCErrorWrn</v>
      </c>
      <c r="P155" s="2" t="str">
        <f t="shared" si="58"/>
        <v>WrnList_HHCErrorWrn</v>
      </c>
      <c r="Q155" t="str">
        <f>IFERROR(VLOOKUP(B155,AppWarningConfig!E:K,7,FALSE),0)</f>
        <v>AUDM_nenLCDGong</v>
      </c>
      <c r="R155" s="2">
        <f t="shared" si="57"/>
        <v>18</v>
      </c>
      <c r="S155" s="41" t="str">
        <f t="shared" si="62"/>
        <v>trigger HHCErrorWrn</v>
      </c>
      <c r="T155" s="41" t="str">
        <f t="shared" si="63"/>
        <v>cancel HHCErrorWrn</v>
      </c>
    </row>
    <row r="156" spans="1:20">
      <c r="A156" s="16">
        <f t="shared" si="60"/>
        <v>155</v>
      </c>
      <c r="B156" s="23" t="s">
        <v>448</v>
      </c>
      <c r="C156" s="2" t="s">
        <v>6</v>
      </c>
      <c r="D156" s="14" t="s">
        <v>15</v>
      </c>
      <c r="E156" s="5" t="s">
        <v>813</v>
      </c>
      <c r="F156" s="17" t="s">
        <v>814</v>
      </c>
      <c r="G156" s="3">
        <v>2000</v>
      </c>
      <c r="H156" s="2">
        <v>70</v>
      </c>
      <c r="I156" s="5" t="s">
        <v>816</v>
      </c>
      <c r="J156" s="4">
        <v>3</v>
      </c>
      <c r="K156" s="2" t="s">
        <v>447</v>
      </c>
      <c r="L156" s="2" t="s">
        <v>4</v>
      </c>
      <c r="M156" s="4" t="str">
        <f t="shared" si="61"/>
        <v>Message_warning_icon_15</v>
      </c>
      <c r="N156" s="21" t="s">
        <v>687</v>
      </c>
      <c r="O156" t="str">
        <f t="shared" si="59"/>
        <v>Wrn_HDCErrorWrn</v>
      </c>
      <c r="P156" s="2" t="str">
        <f t="shared" si="58"/>
        <v>WrnList_HDCErrorWrn</v>
      </c>
      <c r="Q156" t="str">
        <f>IFERROR(VLOOKUP(B156,AppWarningConfig!E:K,7,FALSE),0)</f>
        <v>AUDM_nenLCDGong</v>
      </c>
      <c r="R156" s="2">
        <f t="shared" si="57"/>
        <v>18</v>
      </c>
      <c r="S156" s="41" t="str">
        <f t="shared" si="62"/>
        <v>trigger HDCErrorWrn</v>
      </c>
      <c r="T156" s="41" t="str">
        <f t="shared" si="63"/>
        <v>cancel HDCErrorWrn</v>
      </c>
    </row>
    <row r="157" spans="1:20">
      <c r="A157" s="16">
        <f t="shared" si="60"/>
        <v>156</v>
      </c>
      <c r="B157" s="23" t="s">
        <v>449</v>
      </c>
      <c r="C157" s="2" t="s">
        <v>471</v>
      </c>
      <c r="D157" s="14" t="s">
        <v>15</v>
      </c>
      <c r="E157" s="5" t="s">
        <v>813</v>
      </c>
      <c r="F157" s="17" t="s">
        <v>814</v>
      </c>
      <c r="G157" s="3">
        <v>2000</v>
      </c>
      <c r="H157" s="2">
        <v>70</v>
      </c>
      <c r="I157" s="5" t="s">
        <v>816</v>
      </c>
      <c r="J157" s="4">
        <v>3</v>
      </c>
      <c r="K157" s="2" t="s">
        <v>274</v>
      </c>
      <c r="L157" s="2" t="s">
        <v>4</v>
      </c>
      <c r="M157" s="4" t="str">
        <f t="shared" si="61"/>
        <v>Message_warning_icon_37</v>
      </c>
      <c r="N157" s="21" t="s">
        <v>688</v>
      </c>
      <c r="O157" t="str">
        <f t="shared" si="59"/>
        <v>Wrn_FollowMeHomeWrn</v>
      </c>
      <c r="P157" s="2" t="str">
        <f t="shared" si="58"/>
        <v>WrnList_FollowMeHomeWrn</v>
      </c>
      <c r="Q157" t="str">
        <f>IFERROR(VLOOKUP(B157,AppWarningConfig!E:K,7,FALSE),0)</f>
        <v>AUDM_nenLCDGong</v>
      </c>
      <c r="R157" s="2">
        <f t="shared" si="57"/>
        <v>18</v>
      </c>
      <c r="S157" s="41" t="str">
        <f t="shared" si="62"/>
        <v>trigger FollowMeHomeWrn</v>
      </c>
      <c r="T157" s="41" t="str">
        <f t="shared" si="63"/>
        <v>cancel FollowMeHomeWrn</v>
      </c>
    </row>
    <row r="158" spans="1:20">
      <c r="A158" s="16">
        <f t="shared" si="60"/>
        <v>157</v>
      </c>
      <c r="B158" s="28" t="s">
        <v>328</v>
      </c>
      <c r="C158" s="2" t="s">
        <v>46</v>
      </c>
      <c r="D158" s="14" t="s">
        <v>15</v>
      </c>
      <c r="E158" s="5" t="s">
        <v>813</v>
      </c>
      <c r="F158" s="17" t="s">
        <v>814</v>
      </c>
      <c r="G158" s="3">
        <v>2000</v>
      </c>
      <c r="H158" s="2">
        <v>70</v>
      </c>
      <c r="I158" s="5" t="s">
        <v>816</v>
      </c>
      <c r="J158" s="4">
        <v>3</v>
      </c>
      <c r="K158" s="2" t="s">
        <v>327</v>
      </c>
      <c r="L158" s="2" t="s">
        <v>4</v>
      </c>
      <c r="M158" s="4" t="str">
        <f t="shared" si="61"/>
        <v>Message_warning_icon_40</v>
      </c>
      <c r="N158" s="21" t="s">
        <v>643</v>
      </c>
      <c r="O158" t="str">
        <f t="shared" si="59"/>
        <v>Wrn_PressClutchToStartWrn</v>
      </c>
      <c r="P158" s="2" t="str">
        <f t="shared" si="58"/>
        <v>WrnList_PressClutchToStartWrn</v>
      </c>
      <c r="Q158" t="str">
        <f>IFERROR(VLOOKUP(B158,AppWarningConfig!E:K,7,FALSE),0)</f>
        <v>AUDM_nenLCDGong</v>
      </c>
      <c r="R158" s="2">
        <f t="shared" si="57"/>
        <v>18</v>
      </c>
      <c r="S158" s="41" t="str">
        <f t="shared" si="62"/>
        <v>trigger PressClutchToStartWrn</v>
      </c>
      <c r="T158" s="41" t="str">
        <f t="shared" si="63"/>
        <v>cancel PressClutchToStartWrn</v>
      </c>
    </row>
    <row r="159" spans="1:20">
      <c r="A159" s="16">
        <f t="shared" si="60"/>
        <v>158</v>
      </c>
      <c r="B159" s="23" t="s">
        <v>450</v>
      </c>
      <c r="C159" s="2" t="s">
        <v>6</v>
      </c>
      <c r="D159" s="14" t="s">
        <v>15</v>
      </c>
      <c r="E159" s="5" t="s">
        <v>813</v>
      </c>
      <c r="F159" s="17" t="s">
        <v>814</v>
      </c>
      <c r="G159" s="3">
        <v>2000</v>
      </c>
      <c r="H159" s="2">
        <v>70</v>
      </c>
      <c r="I159" s="5" t="s">
        <v>816</v>
      </c>
      <c r="J159" s="4">
        <v>3</v>
      </c>
      <c r="K159" s="2" t="s">
        <v>276</v>
      </c>
      <c r="L159" s="2" t="s">
        <v>4</v>
      </c>
      <c r="M159" s="4" t="str">
        <f t="shared" si="61"/>
        <v>Message_warning_icon_68</v>
      </c>
      <c r="N159" s="21" t="s">
        <v>1628</v>
      </c>
      <c r="O159" t="str">
        <f t="shared" si="59"/>
        <v>Wrn_BrakeLampFailWrn</v>
      </c>
      <c r="P159" s="2" t="str">
        <f t="shared" si="58"/>
        <v>WrnList_BrakeLampFailWrn</v>
      </c>
      <c r="Q159" t="str">
        <f>IFERROR(VLOOKUP(B159,AppWarningConfig!E:K,7,FALSE),0)</f>
        <v>AUDM_nenLCDGong</v>
      </c>
      <c r="R159" s="2">
        <f t="shared" si="57"/>
        <v>18</v>
      </c>
      <c r="S159" s="41" t="str">
        <f t="shared" si="62"/>
        <v>trigger BrakeLampFailWrn</v>
      </c>
      <c r="T159" s="41" t="str">
        <f t="shared" si="63"/>
        <v>cancel BrakeLampFailWrn</v>
      </c>
    </row>
    <row r="160" spans="1:20">
      <c r="A160" s="16">
        <f t="shared" si="60"/>
        <v>159</v>
      </c>
      <c r="B160" s="23" t="s">
        <v>452</v>
      </c>
      <c r="C160" s="2" t="s">
        <v>6</v>
      </c>
      <c r="D160" s="14" t="s">
        <v>15</v>
      </c>
      <c r="E160" s="5" t="s">
        <v>813</v>
      </c>
      <c r="F160" s="17" t="s">
        <v>814</v>
      </c>
      <c r="G160" s="3">
        <v>2000</v>
      </c>
      <c r="H160" s="2">
        <v>70</v>
      </c>
      <c r="I160" s="5" t="s">
        <v>816</v>
      </c>
      <c r="J160" s="4">
        <v>3</v>
      </c>
      <c r="K160" s="2" t="s">
        <v>281</v>
      </c>
      <c r="L160" s="2" t="s">
        <v>4</v>
      </c>
      <c r="M160" s="4" t="str">
        <f t="shared" si="61"/>
        <v>Message_warning_icon_68</v>
      </c>
      <c r="N160" s="21" t="s">
        <v>1628</v>
      </c>
      <c r="O160" t="str">
        <f t="shared" si="59"/>
        <v>Wrn_LowBeamFailWrn</v>
      </c>
      <c r="P160" s="2" t="str">
        <f t="shared" si="58"/>
        <v>WrnList_LowBeamFailWrn</v>
      </c>
      <c r="Q160" t="str">
        <f>IFERROR(VLOOKUP(B160,AppWarningConfig!E:K,7,FALSE),0)</f>
        <v>AUDM_nenLCDGong</v>
      </c>
      <c r="R160" s="2">
        <f t="shared" si="57"/>
        <v>18</v>
      </c>
      <c r="S160" s="41" t="str">
        <f t="shared" si="62"/>
        <v>trigger LowBeamFailWrn</v>
      </c>
      <c r="T160" s="41" t="str">
        <f t="shared" si="63"/>
        <v>cancel LowBeamFailWrn</v>
      </c>
    </row>
    <row r="161" spans="1:20">
      <c r="A161" s="16">
        <f t="shared" si="60"/>
        <v>160</v>
      </c>
      <c r="B161" s="23" t="s">
        <v>453</v>
      </c>
      <c r="C161" s="2" t="s">
        <v>6</v>
      </c>
      <c r="D161" s="14" t="s">
        <v>15</v>
      </c>
      <c r="E161" s="5" t="s">
        <v>813</v>
      </c>
      <c r="F161" s="17" t="s">
        <v>814</v>
      </c>
      <c r="G161" s="3">
        <v>2000</v>
      </c>
      <c r="H161" s="2">
        <v>70</v>
      </c>
      <c r="I161" s="5" t="s">
        <v>816</v>
      </c>
      <c r="J161" s="4">
        <v>3</v>
      </c>
      <c r="K161" s="2" t="s">
        <v>280</v>
      </c>
      <c r="L161" s="2" t="s">
        <v>4</v>
      </c>
      <c r="M161" s="4" t="str">
        <f t="shared" si="61"/>
        <v>Message_warning_icon_69</v>
      </c>
      <c r="N161" s="21" t="s">
        <v>690</v>
      </c>
      <c r="O161" t="str">
        <f t="shared" si="59"/>
        <v>Wrn_DirLampFailWrn</v>
      </c>
      <c r="P161" s="2" t="str">
        <f t="shared" si="58"/>
        <v>WrnList_DirLampFailWrn</v>
      </c>
      <c r="Q161" t="str">
        <f>IFERROR(VLOOKUP(B161,AppWarningConfig!E:K,7,FALSE),0)</f>
        <v>AUDM_nenLCDGong</v>
      </c>
      <c r="R161" s="2">
        <f t="shared" si="57"/>
        <v>18</v>
      </c>
      <c r="S161" s="41" t="str">
        <f t="shared" si="62"/>
        <v>trigger DirLampFailWrn</v>
      </c>
      <c r="T161" s="41" t="str">
        <f t="shared" si="63"/>
        <v>cancel DirLampFailWrn</v>
      </c>
    </row>
    <row r="162" spans="1:20">
      <c r="A162" s="16">
        <f t="shared" si="60"/>
        <v>161</v>
      </c>
      <c r="B162" s="23" t="s">
        <v>454</v>
      </c>
      <c r="C162" s="2" t="s">
        <v>6</v>
      </c>
      <c r="D162" s="14" t="s">
        <v>15</v>
      </c>
      <c r="E162" s="5" t="s">
        <v>813</v>
      </c>
      <c r="F162" s="17" t="s">
        <v>814</v>
      </c>
      <c r="G162" s="3">
        <v>2000</v>
      </c>
      <c r="H162" s="2">
        <v>70</v>
      </c>
      <c r="I162" s="5" t="s">
        <v>816</v>
      </c>
      <c r="J162" s="4">
        <v>3</v>
      </c>
      <c r="K162" s="2" t="s">
        <v>278</v>
      </c>
      <c r="L162" s="2" t="s">
        <v>4</v>
      </c>
      <c r="M162" s="4" t="str">
        <f t="shared" si="61"/>
        <v>Message_warning_icon_22</v>
      </c>
      <c r="N162" s="21" t="s">
        <v>689</v>
      </c>
      <c r="O162" t="str">
        <f t="shared" si="59"/>
        <v>Wrn_ReverseLampFailWrn</v>
      </c>
      <c r="P162" s="2" t="str">
        <f t="shared" si="58"/>
        <v>WrnList_ReverseLampFailWrn</v>
      </c>
      <c r="Q162" t="str">
        <f>IFERROR(VLOOKUP(B162,AppWarningConfig!E:K,7,FALSE),0)</f>
        <v>AUDM_nenLCDGong</v>
      </c>
      <c r="R162" s="2">
        <f t="shared" ref="R162:R182" si="64">IFERROR(VLOOKUP(Q162,V:AW,2,FALSE),256)</f>
        <v>18</v>
      </c>
      <c r="S162" s="41" t="str">
        <f t="shared" si="62"/>
        <v>trigger ReverseLampFailWrn</v>
      </c>
      <c r="T162" s="41" t="str">
        <f t="shared" si="63"/>
        <v>cancel ReverseLampFailWrn</v>
      </c>
    </row>
    <row r="163" spans="1:20">
      <c r="A163" s="16">
        <f t="shared" si="60"/>
        <v>162</v>
      </c>
      <c r="B163" s="23" t="s">
        <v>455</v>
      </c>
      <c r="C163" s="2" t="s">
        <v>6</v>
      </c>
      <c r="D163" s="14" t="s">
        <v>15</v>
      </c>
      <c r="E163" s="5" t="s">
        <v>813</v>
      </c>
      <c r="F163" s="17" t="s">
        <v>814</v>
      </c>
      <c r="G163" s="3">
        <v>2000</v>
      </c>
      <c r="H163" s="2">
        <v>70</v>
      </c>
      <c r="I163" s="5" t="s">
        <v>816</v>
      </c>
      <c r="J163" s="4">
        <v>3</v>
      </c>
      <c r="K163" s="2" t="s">
        <v>279</v>
      </c>
      <c r="L163" s="2" t="s">
        <v>4</v>
      </c>
      <c r="M163" s="4" t="str">
        <f t="shared" si="61"/>
        <v>Message_warning_icon_22</v>
      </c>
      <c r="N163" s="21" t="s">
        <v>689</v>
      </c>
      <c r="O163" t="str">
        <f t="shared" si="59"/>
        <v>Wrn_RearFogFailWrn</v>
      </c>
      <c r="P163" s="2" t="str">
        <f t="shared" si="58"/>
        <v>WrnList_RearFogFailWrn</v>
      </c>
      <c r="Q163" t="str">
        <f>IFERROR(VLOOKUP(B163,AppWarningConfig!E:K,7,FALSE),0)</f>
        <v>AUDM_nenLCDGong</v>
      </c>
      <c r="R163" s="2">
        <f t="shared" si="64"/>
        <v>18</v>
      </c>
      <c r="S163" s="41" t="str">
        <f t="shared" si="62"/>
        <v>trigger RearFogFailWrn</v>
      </c>
      <c r="T163" s="41" t="str">
        <f t="shared" si="63"/>
        <v>cancel RearFogFailWrn</v>
      </c>
    </row>
    <row r="164" spans="1:20">
      <c r="A164" s="16">
        <f t="shared" si="60"/>
        <v>163</v>
      </c>
      <c r="B164" s="23" t="s">
        <v>456</v>
      </c>
      <c r="C164" s="2" t="s">
        <v>6</v>
      </c>
      <c r="D164" s="14" t="s">
        <v>15</v>
      </c>
      <c r="E164" s="5" t="s">
        <v>813</v>
      </c>
      <c r="F164" s="17" t="s">
        <v>814</v>
      </c>
      <c r="G164" s="3">
        <v>2000</v>
      </c>
      <c r="H164" s="2">
        <v>70</v>
      </c>
      <c r="I164" s="5" t="s">
        <v>816</v>
      </c>
      <c r="J164" s="4">
        <v>3</v>
      </c>
      <c r="K164" s="2" t="s">
        <v>283</v>
      </c>
      <c r="L164" s="2" t="s">
        <v>4</v>
      </c>
      <c r="M164" s="4" t="str">
        <f t="shared" si="61"/>
        <v>Message_warning_icon_91</v>
      </c>
      <c r="N164" s="21" t="s">
        <v>1641</v>
      </c>
      <c r="O164" t="str">
        <f t="shared" si="59"/>
        <v>Wrn_FrontRadarLimitWrn</v>
      </c>
      <c r="P164" s="2" t="str">
        <f t="shared" si="58"/>
        <v>WrnList_FrontRadarLimitWrn</v>
      </c>
      <c r="Q164" t="str">
        <f>IFERROR(VLOOKUP(B164,AppWarningConfig!E:K,7,FALSE),0)</f>
        <v>AUDM_nenLCDGong</v>
      </c>
      <c r="R164" s="2">
        <f t="shared" si="64"/>
        <v>18</v>
      </c>
      <c r="S164" s="41" t="str">
        <f t="shared" si="62"/>
        <v>trigger FrontRadarLimitWrn</v>
      </c>
      <c r="T164" s="41" t="str">
        <f t="shared" si="63"/>
        <v>cancel FrontRadarLimitWrn</v>
      </c>
    </row>
    <row r="165" spans="1:20">
      <c r="A165" s="16">
        <f t="shared" si="60"/>
        <v>164</v>
      </c>
      <c r="B165" s="23" t="s">
        <v>958</v>
      </c>
      <c r="C165" s="2" t="s">
        <v>6</v>
      </c>
      <c r="D165" s="14" t="s">
        <v>15</v>
      </c>
      <c r="E165" s="5" t="s">
        <v>813</v>
      </c>
      <c r="F165" s="17" t="s">
        <v>814</v>
      </c>
      <c r="G165" s="3">
        <v>2000</v>
      </c>
      <c r="H165" s="2">
        <v>70</v>
      </c>
      <c r="I165" s="5" t="s">
        <v>816</v>
      </c>
      <c r="J165" s="4">
        <v>3</v>
      </c>
      <c r="K165" s="2" t="s">
        <v>457</v>
      </c>
      <c r="L165" s="2" t="s">
        <v>4</v>
      </c>
      <c r="M165" s="4" t="str">
        <f t="shared" si="61"/>
        <v>Message_warning_icon_94</v>
      </c>
      <c r="N165" s="21" t="s">
        <v>1644</v>
      </c>
      <c r="O165" t="str">
        <f t="shared" si="59"/>
        <v>Wrn_KeepSafeDisWrn</v>
      </c>
      <c r="P165" s="2" t="str">
        <f t="shared" si="58"/>
        <v>WrnList_KeepSafeDisWrn</v>
      </c>
      <c r="Q165" t="str">
        <f>IFERROR(VLOOKUP(B165,AppWarningConfig!E:K,7,FALSE),0)</f>
        <v>AUDM_nenLCDGong</v>
      </c>
      <c r="R165" s="2">
        <f t="shared" si="64"/>
        <v>18</v>
      </c>
      <c r="S165" s="41" t="str">
        <f t="shared" si="62"/>
        <v>trigger KeepSafeDisWrn</v>
      </c>
      <c r="T165" s="41" t="str">
        <f t="shared" si="63"/>
        <v>cancel KeepSafeDisWrn</v>
      </c>
    </row>
    <row r="166" spans="1:20">
      <c r="A166" s="16">
        <f t="shared" si="60"/>
        <v>165</v>
      </c>
      <c r="B166" s="23" t="s">
        <v>458</v>
      </c>
      <c r="C166" s="2" t="s">
        <v>6</v>
      </c>
      <c r="D166" s="14" t="s">
        <v>15</v>
      </c>
      <c r="E166" s="5" t="s">
        <v>813</v>
      </c>
      <c r="F166" s="17" t="s">
        <v>814</v>
      </c>
      <c r="G166" s="3">
        <v>2000</v>
      </c>
      <c r="H166" s="2">
        <v>70</v>
      </c>
      <c r="I166" s="5" t="s">
        <v>816</v>
      </c>
      <c r="J166" s="4">
        <v>3</v>
      </c>
      <c r="K166" s="2" t="s">
        <v>938</v>
      </c>
      <c r="L166" s="2" t="s">
        <v>4</v>
      </c>
      <c r="M166" s="4" t="str">
        <f t="shared" ref="M166:M182" si="65">CONCATENATE("Message_",N166)</f>
        <v>Message_warning_icon_92</v>
      </c>
      <c r="N166" s="21" t="s">
        <v>1642</v>
      </c>
      <c r="O166" t="str">
        <f t="shared" si="59"/>
        <v>Wrn_FrontRadarBlindWrn</v>
      </c>
      <c r="P166" s="2" t="str">
        <f t="shared" si="58"/>
        <v>WrnList_FrontRadarBlindWrn</v>
      </c>
      <c r="Q166" t="str">
        <f>IFERROR(VLOOKUP(B166,AppWarningConfig!E:K,7,FALSE),0)</f>
        <v>AUDM_nenLCDGong</v>
      </c>
      <c r="R166" s="2">
        <f t="shared" si="64"/>
        <v>18</v>
      </c>
      <c r="S166" s="41" t="str">
        <f t="shared" si="62"/>
        <v>trigger FrontRadarBlindWrn</v>
      </c>
      <c r="T166" s="41" t="str">
        <f t="shared" si="63"/>
        <v>cancel FrontRadarBlindWrn</v>
      </c>
    </row>
    <row r="167" spans="1:20">
      <c r="A167" s="16">
        <f>ROW()-1</f>
        <v>166</v>
      </c>
      <c r="B167" s="23" t="s">
        <v>1027</v>
      </c>
      <c r="C167" s="2" t="s">
        <v>6</v>
      </c>
      <c r="D167" s="14" t="s">
        <v>15</v>
      </c>
      <c r="E167" s="5" t="s">
        <v>813</v>
      </c>
      <c r="F167" s="17" t="s">
        <v>814</v>
      </c>
      <c r="G167" s="3">
        <v>2000</v>
      </c>
      <c r="H167" s="2">
        <v>70</v>
      </c>
      <c r="I167" s="5" t="s">
        <v>816</v>
      </c>
      <c r="J167" s="4">
        <v>3</v>
      </c>
      <c r="K167" s="2" t="s">
        <v>1025</v>
      </c>
      <c r="L167" s="2" t="s">
        <v>4</v>
      </c>
      <c r="M167" s="4" t="str">
        <f t="shared" ref="M167" si="66">CONCATENATE("Message_",N167)</f>
        <v>Message_warning_icon_100</v>
      </c>
      <c r="N167" s="21" t="s">
        <v>1650</v>
      </c>
      <c r="O167" t="str">
        <f t="shared" ref="O167" si="67">CONCATENATE("Wrn_",B167)</f>
        <v>Wrn_FrontCameraBlindWrn</v>
      </c>
      <c r="P167" s="2" t="str">
        <f t="shared" ref="P167" si="68">CONCATENATE("WrnList_",B167)</f>
        <v>WrnList_FrontCameraBlindWrn</v>
      </c>
      <c r="Q167" t="str">
        <f>IFERROR(VLOOKUP(B167,AppWarningConfig!E:K,7,FALSE),0)</f>
        <v>AUDM_nenLCDGong</v>
      </c>
      <c r="R167" s="2">
        <f t="shared" si="64"/>
        <v>18</v>
      </c>
      <c r="S167" s="41" t="str">
        <f t="shared" ref="S167" si="69" xml:space="preserve"> CONCATENATE("trigger ",B167)</f>
        <v>trigger FrontCameraBlindWrn</v>
      </c>
      <c r="T167" s="41" t="str">
        <f t="shared" ref="T167" si="70" xml:space="preserve"> CONCATENATE("cancel ",B167)</f>
        <v>cancel FrontCameraBlindWrn</v>
      </c>
    </row>
    <row r="168" spans="1:20">
      <c r="A168" s="16">
        <f t="shared" si="60"/>
        <v>167</v>
      </c>
      <c r="B168" s="23" t="s">
        <v>459</v>
      </c>
      <c r="C168" s="2" t="s">
        <v>6</v>
      </c>
      <c r="D168" s="14" t="s">
        <v>15</v>
      </c>
      <c r="E168" s="5" t="s">
        <v>813</v>
      </c>
      <c r="F168" s="17" t="s">
        <v>814</v>
      </c>
      <c r="G168" s="3">
        <v>2000</v>
      </c>
      <c r="H168" s="2">
        <v>70</v>
      </c>
      <c r="I168" s="5" t="s">
        <v>816</v>
      </c>
      <c r="J168" s="4">
        <v>3</v>
      </c>
      <c r="K168" s="2" t="s">
        <v>284</v>
      </c>
      <c r="L168" s="2" t="s">
        <v>4</v>
      </c>
      <c r="M168" s="4" t="str">
        <f t="shared" si="65"/>
        <v>Message_warning_icon_95</v>
      </c>
      <c r="N168" s="21" t="s">
        <v>1645</v>
      </c>
      <c r="O168" t="str">
        <f t="shared" si="59"/>
        <v>Wrn_HoldWheelWrn</v>
      </c>
      <c r="P168" s="2" t="str">
        <f t="shared" si="58"/>
        <v>WrnList_HoldWheelWrn</v>
      </c>
      <c r="Q168" t="str">
        <f>IFERROR(VLOOKUP(B168,AppWarningConfig!E:K,7,FALSE),0)</f>
        <v>AUDM_nenLCDGong</v>
      </c>
      <c r="R168" s="2">
        <f t="shared" si="64"/>
        <v>18</v>
      </c>
      <c r="S168" s="41" t="str">
        <f t="shared" si="62"/>
        <v>trigger HoldWheelWrn</v>
      </c>
      <c r="T168" s="41" t="str">
        <f t="shared" si="63"/>
        <v>cancel HoldWheelWrn</v>
      </c>
    </row>
    <row r="169" spans="1:20">
      <c r="A169" s="16">
        <f t="shared" si="60"/>
        <v>168</v>
      </c>
      <c r="B169" s="23" t="s">
        <v>962</v>
      </c>
      <c r="C169" s="2" t="s">
        <v>6</v>
      </c>
      <c r="D169" s="14" t="s">
        <v>15</v>
      </c>
      <c r="E169" s="5" t="s">
        <v>813</v>
      </c>
      <c r="F169" s="17" t="s">
        <v>814</v>
      </c>
      <c r="G169" s="3">
        <v>2000</v>
      </c>
      <c r="H169" s="2">
        <v>70</v>
      </c>
      <c r="I169" s="5" t="s">
        <v>816</v>
      </c>
      <c r="J169" s="4">
        <v>3</v>
      </c>
      <c r="K169" s="2" t="s">
        <v>285</v>
      </c>
      <c r="L169" s="2" t="s">
        <v>4</v>
      </c>
      <c r="M169" s="4" t="str">
        <f t="shared" si="65"/>
        <v>Message_warning_icon_90</v>
      </c>
      <c r="N169" s="21" t="s">
        <v>1640</v>
      </c>
      <c r="O169" t="str">
        <f t="shared" si="59"/>
        <v>Wrn_FrontCameraLimitWrn</v>
      </c>
      <c r="P169" s="2" t="str">
        <f t="shared" si="58"/>
        <v>WrnList_FrontCameraLimitWrn</v>
      </c>
      <c r="Q169" t="str">
        <f>IFERROR(VLOOKUP(B169,AppWarningConfig!E:K,7,FALSE),0)</f>
        <v>AUDM_nenLCDGong</v>
      </c>
      <c r="R169" s="2">
        <f t="shared" si="64"/>
        <v>18</v>
      </c>
      <c r="S169" s="41" t="str">
        <f t="shared" si="62"/>
        <v>trigger FrontCameraLimitWrn</v>
      </c>
      <c r="T169" s="41" t="str">
        <f t="shared" si="63"/>
        <v>cancel FrontCameraLimitWrn</v>
      </c>
    </row>
    <row r="170" spans="1:20">
      <c r="A170" s="16">
        <f t="shared" si="60"/>
        <v>169</v>
      </c>
      <c r="B170" s="23" t="s">
        <v>642</v>
      </c>
      <c r="C170" s="2" t="s">
        <v>6</v>
      </c>
      <c r="D170" s="14" t="s">
        <v>15</v>
      </c>
      <c r="E170" s="5" t="s">
        <v>813</v>
      </c>
      <c r="F170" s="17" t="s">
        <v>814</v>
      </c>
      <c r="G170" s="3">
        <v>2000</v>
      </c>
      <c r="H170" s="2">
        <v>70</v>
      </c>
      <c r="I170" s="5" t="s">
        <v>816</v>
      </c>
      <c r="J170" s="4">
        <v>3</v>
      </c>
      <c r="K170" s="2" t="s">
        <v>286</v>
      </c>
      <c r="L170" s="2" t="s">
        <v>4</v>
      </c>
      <c r="M170" s="4" t="str">
        <f t="shared" si="65"/>
        <v>Message_warning_icon_99</v>
      </c>
      <c r="N170" s="21" t="s">
        <v>1649</v>
      </c>
      <c r="O170" t="str">
        <f t="shared" si="59"/>
        <v>Wrn_Warning99</v>
      </c>
      <c r="P170" s="2" t="str">
        <f t="shared" si="58"/>
        <v>WrnList_Warning99</v>
      </c>
      <c r="Q170">
        <f>IFERROR(VLOOKUP(B170,AppWarningConfig!E:K,7,FALSE),0)</f>
        <v>0</v>
      </c>
      <c r="R170" s="2">
        <f t="shared" si="64"/>
        <v>256</v>
      </c>
      <c r="S170" s="41" t="str">
        <f t="shared" si="62"/>
        <v>trigger Warning99</v>
      </c>
      <c r="T170" s="41" t="str">
        <f t="shared" si="63"/>
        <v>cancel Warning99</v>
      </c>
    </row>
    <row r="171" spans="1:20">
      <c r="A171" s="16">
        <f>ROW()-1</f>
        <v>170</v>
      </c>
      <c r="B171" s="23" t="s">
        <v>460</v>
      </c>
      <c r="C171" s="2" t="s">
        <v>6</v>
      </c>
      <c r="D171" s="14" t="s">
        <v>15</v>
      </c>
      <c r="E171" s="5" t="s">
        <v>813</v>
      </c>
      <c r="F171" s="17" t="s">
        <v>814</v>
      </c>
      <c r="G171" s="3">
        <v>2000</v>
      </c>
      <c r="H171" s="2">
        <v>70</v>
      </c>
      <c r="I171" s="5" t="s">
        <v>816</v>
      </c>
      <c r="J171" s="4">
        <v>3</v>
      </c>
      <c r="K171" s="2" t="s">
        <v>287</v>
      </c>
      <c r="L171" s="2" t="s">
        <v>4</v>
      </c>
      <c r="M171" s="4" t="str">
        <f t="shared" si="65"/>
        <v>Message_warning_icon_97</v>
      </c>
      <c r="N171" s="21" t="s">
        <v>1647</v>
      </c>
      <c r="O171" t="str">
        <f t="shared" si="59"/>
        <v>Wrn_CleanRadarWrn</v>
      </c>
      <c r="P171" s="2" t="str">
        <f t="shared" si="58"/>
        <v>WrnList_CleanRadarWrn</v>
      </c>
      <c r="Q171" t="str">
        <f>IFERROR(VLOOKUP(B171,AppWarningConfig!E:K,7,FALSE),0)</f>
        <v>AUDM_nenLCDGong</v>
      </c>
      <c r="R171" s="2">
        <f t="shared" si="64"/>
        <v>18</v>
      </c>
      <c r="S171" s="41" t="str">
        <f t="shared" si="62"/>
        <v>trigger CleanRadarWrn</v>
      </c>
      <c r="T171" s="41" t="str">
        <f t="shared" si="63"/>
        <v>cancel CleanRadarWrn</v>
      </c>
    </row>
    <row r="172" spans="1:20">
      <c r="A172" s="16">
        <f t="shared" si="60"/>
        <v>171</v>
      </c>
      <c r="B172" s="23" t="s">
        <v>462</v>
      </c>
      <c r="C172" s="2" t="s">
        <v>6</v>
      </c>
      <c r="D172" s="14" t="s">
        <v>15</v>
      </c>
      <c r="E172" s="5" t="s">
        <v>813</v>
      </c>
      <c r="F172" s="17" t="s">
        <v>814</v>
      </c>
      <c r="G172" s="3">
        <v>2000</v>
      </c>
      <c r="H172" s="2">
        <v>70</v>
      </c>
      <c r="I172" s="5" t="s">
        <v>816</v>
      </c>
      <c r="J172" s="4">
        <v>3</v>
      </c>
      <c r="K172" s="2" t="s">
        <v>510</v>
      </c>
      <c r="L172" s="2" t="s">
        <v>4</v>
      </c>
      <c r="M172" s="4" t="str">
        <f t="shared" si="65"/>
        <v>Message_warning_icon_93</v>
      </c>
      <c r="N172" s="21" t="s">
        <v>1643</v>
      </c>
      <c r="O172" t="str">
        <f t="shared" si="59"/>
        <v>Wrn_SideRadarLimitWrn</v>
      </c>
      <c r="P172" s="2" t="str">
        <f t="shared" si="58"/>
        <v>WrnList_SideRadarLimitWrn</v>
      </c>
      <c r="Q172" t="str">
        <f>IFERROR(VLOOKUP(B172,AppWarningConfig!E:K,7,FALSE),0)</f>
        <v>AUDM_nenLCDGong</v>
      </c>
      <c r="R172" s="2">
        <f t="shared" si="64"/>
        <v>18</v>
      </c>
      <c r="S172" s="41" t="str">
        <f t="shared" si="62"/>
        <v>trigger SideRadarLimitWrn</v>
      </c>
      <c r="T172" s="41" t="str">
        <f t="shared" si="63"/>
        <v>cancel SideRadarLimitWrn</v>
      </c>
    </row>
    <row r="173" spans="1:20">
      <c r="A173" s="16">
        <f t="shared" si="60"/>
        <v>172</v>
      </c>
      <c r="B173" s="23" t="s">
        <v>964</v>
      </c>
      <c r="C173" s="2" t="s">
        <v>6</v>
      </c>
      <c r="D173" s="14" t="s">
        <v>15</v>
      </c>
      <c r="E173" s="5" t="s">
        <v>813</v>
      </c>
      <c r="F173" s="17" t="s">
        <v>814</v>
      </c>
      <c r="G173" s="3">
        <v>2000</v>
      </c>
      <c r="H173" s="2">
        <v>70</v>
      </c>
      <c r="I173" s="5" t="s">
        <v>816</v>
      </c>
      <c r="J173" s="4">
        <v>3</v>
      </c>
      <c r="K173" s="2" t="s">
        <v>463</v>
      </c>
      <c r="L173" s="2" t="s">
        <v>4</v>
      </c>
      <c r="M173" s="4" t="str">
        <f t="shared" si="65"/>
        <v>Message_warning_icon_96</v>
      </c>
      <c r="N173" s="21" t="s">
        <v>1646</v>
      </c>
      <c r="O173" t="str">
        <f t="shared" si="59"/>
        <v>Wrn_PleaseTakeOverWrn</v>
      </c>
      <c r="P173" s="2" t="str">
        <f t="shared" si="58"/>
        <v>WrnList_PleaseTakeOverWrn</v>
      </c>
      <c r="Q173" t="str">
        <f>IFERROR(VLOOKUP(B173,AppWarningConfig!E:K,7,FALSE),0)</f>
        <v>AUDM_nenLCDGong</v>
      </c>
      <c r="R173" s="2">
        <f t="shared" si="64"/>
        <v>18</v>
      </c>
      <c r="S173" s="41" t="str">
        <f t="shared" si="62"/>
        <v>trigger PleaseTakeOverWrn</v>
      </c>
      <c r="T173" s="41" t="str">
        <f t="shared" si="63"/>
        <v>cancel PleaseTakeOverWrn</v>
      </c>
    </row>
    <row r="174" spans="1:20">
      <c r="A174" s="16">
        <f t="shared" si="60"/>
        <v>173</v>
      </c>
      <c r="B174" s="23" t="s">
        <v>966</v>
      </c>
      <c r="C174" s="2" t="s">
        <v>6</v>
      </c>
      <c r="D174" s="14" t="s">
        <v>15</v>
      </c>
      <c r="E174" s="5" t="s">
        <v>813</v>
      </c>
      <c r="F174" s="17" t="s">
        <v>814</v>
      </c>
      <c r="G174" s="3">
        <v>2000</v>
      </c>
      <c r="H174" s="2">
        <v>70</v>
      </c>
      <c r="I174" s="5" t="s">
        <v>816</v>
      </c>
      <c r="J174" s="4">
        <v>3</v>
      </c>
      <c r="K174" s="2" t="s">
        <v>464</v>
      </c>
      <c r="L174" s="2" t="s">
        <v>4</v>
      </c>
      <c r="M174" s="4" t="str">
        <f t="shared" si="65"/>
        <v>Message_warning_icon_73</v>
      </c>
      <c r="N174" s="21" t="s">
        <v>1634</v>
      </c>
      <c r="O174" t="str">
        <f t="shared" si="59"/>
        <v>Wrn_SpeedUpActiveWrn</v>
      </c>
      <c r="P174" s="2" t="str">
        <f t="shared" si="58"/>
        <v>WrnList_SpeedUpActiveWrn</v>
      </c>
      <c r="Q174" t="str">
        <f>IFERROR(VLOOKUP(B174,AppWarningConfig!E:K,7,FALSE),0)</f>
        <v>AUDM_nenLCDGong</v>
      </c>
      <c r="R174" s="2">
        <f t="shared" si="64"/>
        <v>18</v>
      </c>
      <c r="S174" s="41" t="str">
        <f t="shared" si="62"/>
        <v>trigger SpeedUpActiveWrn</v>
      </c>
      <c r="T174" s="41" t="str">
        <f t="shared" si="63"/>
        <v>cancel SpeedUpActiveWrn</v>
      </c>
    </row>
    <row r="175" spans="1:20">
      <c r="A175" s="16">
        <f t="shared" si="60"/>
        <v>174</v>
      </c>
      <c r="B175" s="23" t="s">
        <v>698</v>
      </c>
      <c r="C175" s="2" t="s">
        <v>6</v>
      </c>
      <c r="D175" s="14" t="s">
        <v>15</v>
      </c>
      <c r="E175" s="5" t="s">
        <v>813</v>
      </c>
      <c r="F175" s="17" t="s">
        <v>814</v>
      </c>
      <c r="G175" s="3">
        <v>2000</v>
      </c>
      <c r="H175" s="2">
        <v>70</v>
      </c>
      <c r="I175" s="5" t="s">
        <v>816</v>
      </c>
      <c r="J175" s="4">
        <v>3</v>
      </c>
      <c r="K175" s="2" t="s">
        <v>506</v>
      </c>
      <c r="L175" s="2" t="s">
        <v>4</v>
      </c>
      <c r="M175" s="4" t="str">
        <f t="shared" si="65"/>
        <v>Message_warning_icon_81</v>
      </c>
      <c r="N175" s="21" t="s">
        <v>1543</v>
      </c>
      <c r="O175" t="str">
        <f t="shared" si="59"/>
        <v>Wrn_IsgOverSpeedWrn</v>
      </c>
      <c r="P175" s="2" t="str">
        <f t="shared" si="58"/>
        <v>WrnList_IsgOverSpeedWrn</v>
      </c>
      <c r="Q175" t="str">
        <f>IFERROR(VLOOKUP(B175,AppWarningConfig!E:K,7,FALSE),0)</f>
        <v>AUDM_nenLCDGong</v>
      </c>
      <c r="R175" s="2">
        <f t="shared" si="64"/>
        <v>18</v>
      </c>
      <c r="S175" s="41" t="str">
        <f t="shared" si="62"/>
        <v>trigger IsgOverSpeedWrn</v>
      </c>
      <c r="T175" s="41" t="str">
        <f t="shared" si="63"/>
        <v>cancel IsgOverSpeedWrn</v>
      </c>
    </row>
    <row r="176" spans="1:20">
      <c r="A176" s="16">
        <f t="shared" si="60"/>
        <v>175</v>
      </c>
      <c r="B176" s="23" t="s">
        <v>699</v>
      </c>
      <c r="C176" s="2" t="s">
        <v>46</v>
      </c>
      <c r="D176" s="14" t="s">
        <v>15</v>
      </c>
      <c r="E176" s="5" t="s">
        <v>813</v>
      </c>
      <c r="F176" s="17" t="s">
        <v>814</v>
      </c>
      <c r="G176" s="3">
        <v>2000</v>
      </c>
      <c r="H176" s="2">
        <v>70</v>
      </c>
      <c r="I176" s="5" t="s">
        <v>816</v>
      </c>
      <c r="J176" s="4">
        <v>3</v>
      </c>
      <c r="K176" s="2" t="s">
        <v>504</v>
      </c>
      <c r="L176" s="2" t="s">
        <v>4</v>
      </c>
      <c r="M176" s="4" t="str">
        <f t="shared" si="65"/>
        <v>Message_warning_icon_75</v>
      </c>
      <c r="N176" s="21" t="s">
        <v>1539</v>
      </c>
      <c r="O176" t="str">
        <f t="shared" si="59"/>
        <v>Wrn_ChargerFailWrn</v>
      </c>
      <c r="P176" s="2" t="str">
        <f t="shared" si="58"/>
        <v>WrnList_ChargerFailWrn</v>
      </c>
      <c r="Q176" t="str">
        <f>IFERROR(VLOOKUP(B176,AppWarningConfig!E:K,7,FALSE),0)</f>
        <v>AUDM_nenLCDGong</v>
      </c>
      <c r="R176" s="2">
        <f t="shared" si="64"/>
        <v>18</v>
      </c>
      <c r="S176" s="41" t="str">
        <f t="shared" si="62"/>
        <v>trigger ChargerFailWrn</v>
      </c>
      <c r="T176" s="41" t="str">
        <f t="shared" si="63"/>
        <v>cancel ChargerFailWrn</v>
      </c>
    </row>
    <row r="177" spans="1:20">
      <c r="A177" s="16">
        <f t="shared" si="60"/>
        <v>176</v>
      </c>
      <c r="B177" s="23" t="s">
        <v>700</v>
      </c>
      <c r="C177" s="2" t="s">
        <v>6</v>
      </c>
      <c r="D177" s="14" t="s">
        <v>15</v>
      </c>
      <c r="E177" s="5" t="s">
        <v>813</v>
      </c>
      <c r="F177" s="17" t="s">
        <v>814</v>
      </c>
      <c r="G177" s="3">
        <v>2000</v>
      </c>
      <c r="H177" s="2">
        <v>70</v>
      </c>
      <c r="I177" s="5" t="s">
        <v>816</v>
      </c>
      <c r="J177" s="4">
        <v>3</v>
      </c>
      <c r="K177" s="2" t="s">
        <v>502</v>
      </c>
      <c r="L177" s="2" t="s">
        <v>4</v>
      </c>
      <c r="M177" s="4" t="str">
        <f t="shared" si="65"/>
        <v>Message_warning_icon_98</v>
      </c>
      <c r="N177" s="21" t="s">
        <v>1648</v>
      </c>
      <c r="O177" t="str">
        <f t="shared" si="59"/>
        <v>Wrn_EVOverSpeedWrn</v>
      </c>
      <c r="P177" s="2" t="str">
        <f t="shared" si="58"/>
        <v>WrnList_EVOverSpeedWrn</v>
      </c>
      <c r="Q177" t="str">
        <f>IFERROR(VLOOKUP(B177,AppWarningConfig!E:K,7,FALSE),0)</f>
        <v>AUDM_nenLCDGong</v>
      </c>
      <c r="R177" s="2">
        <f t="shared" si="64"/>
        <v>18</v>
      </c>
      <c r="S177" s="41" t="str">
        <f t="shared" si="62"/>
        <v>trigger EVOverSpeedWrn</v>
      </c>
      <c r="T177" s="41" t="str">
        <f t="shared" si="63"/>
        <v>cancel EVOverSpeedWrn</v>
      </c>
    </row>
    <row r="178" spans="1:20">
      <c r="A178" s="16">
        <f t="shared" si="60"/>
        <v>177</v>
      </c>
      <c r="B178" s="23" t="s">
        <v>701</v>
      </c>
      <c r="C178" s="2" t="s">
        <v>46</v>
      </c>
      <c r="D178" s="14" t="s">
        <v>15</v>
      </c>
      <c r="E178" s="5" t="s">
        <v>813</v>
      </c>
      <c r="F178" s="17" t="s">
        <v>814</v>
      </c>
      <c r="G178" s="3">
        <v>2000</v>
      </c>
      <c r="H178" s="2">
        <v>70</v>
      </c>
      <c r="I178" s="5" t="s">
        <v>816</v>
      </c>
      <c r="J178" s="4">
        <v>3</v>
      </c>
      <c r="K178" s="2" t="s">
        <v>987</v>
      </c>
      <c r="L178" s="2" t="s">
        <v>4</v>
      </c>
      <c r="M178" s="4" t="str">
        <f t="shared" si="65"/>
        <v>Message_warning_icon_78</v>
      </c>
      <c r="N178" s="21" t="s">
        <v>1540</v>
      </c>
      <c r="O178" t="str">
        <f t="shared" si="59"/>
        <v>Wrn_ChargeTimeRemindWrn</v>
      </c>
      <c r="P178" s="2" t="str">
        <f t="shared" si="58"/>
        <v>WrnList_ChargeTimeRemindWrn</v>
      </c>
      <c r="Q178" t="str">
        <f>IFERROR(VLOOKUP(B178,AppWarningConfig!E:K,7,FALSE),0)</f>
        <v>AUDM_nenLCDGong</v>
      </c>
      <c r="R178" s="2">
        <f t="shared" si="64"/>
        <v>18</v>
      </c>
      <c r="S178" s="41" t="str">
        <f t="shared" si="62"/>
        <v>trigger ChargeTimeRemindWrn</v>
      </c>
      <c r="T178" s="41" t="str">
        <f t="shared" si="63"/>
        <v>cancel ChargeTimeRemindWrn</v>
      </c>
    </row>
    <row r="179" spans="1:20">
      <c r="A179" s="16">
        <f t="shared" si="60"/>
        <v>178</v>
      </c>
      <c r="B179" s="23" t="s">
        <v>702</v>
      </c>
      <c r="C179" s="2" t="s">
        <v>6</v>
      </c>
      <c r="D179" s="14" t="s">
        <v>15</v>
      </c>
      <c r="E179" s="5" t="s">
        <v>813</v>
      </c>
      <c r="F179" s="17" t="s">
        <v>814</v>
      </c>
      <c r="G179" s="3">
        <v>2000</v>
      </c>
      <c r="H179" s="2">
        <v>70</v>
      </c>
      <c r="I179" s="5" t="s">
        <v>816</v>
      </c>
      <c r="J179" s="4">
        <v>3</v>
      </c>
      <c r="K179" s="2" t="s">
        <v>1617</v>
      </c>
      <c r="L179" s="2" t="s">
        <v>4</v>
      </c>
      <c r="M179" s="4"/>
      <c r="N179" s="21"/>
      <c r="O179" t="str">
        <f t="shared" si="59"/>
        <v>Wrn_EnterEVFailWrn</v>
      </c>
      <c r="P179" s="2" t="str">
        <f t="shared" si="58"/>
        <v>WrnList_EnterEVFailWrn</v>
      </c>
      <c r="Q179" t="str">
        <f>IFERROR(VLOOKUP(B179,AppWarningConfig!E:K,7,FALSE),0)</f>
        <v>AUDM_nenLCDGong</v>
      </c>
      <c r="R179" s="2">
        <f t="shared" si="64"/>
        <v>18</v>
      </c>
      <c r="S179" s="41" t="str">
        <f t="shared" si="62"/>
        <v>trigger EnterEVFailWrn</v>
      </c>
      <c r="T179" s="41" t="str">
        <f t="shared" si="63"/>
        <v>cancel EnterEVFailWrn</v>
      </c>
    </row>
    <row r="180" spans="1:20">
      <c r="A180" s="16">
        <f t="shared" si="60"/>
        <v>179</v>
      </c>
      <c r="B180" s="23" t="s">
        <v>703</v>
      </c>
      <c r="C180" s="2" t="s">
        <v>46</v>
      </c>
      <c r="D180" s="14" t="s">
        <v>15</v>
      </c>
      <c r="E180" s="5" t="s">
        <v>813</v>
      </c>
      <c r="F180" s="17" t="s">
        <v>814</v>
      </c>
      <c r="G180" s="3">
        <v>2000</v>
      </c>
      <c r="H180" s="2">
        <v>70</v>
      </c>
      <c r="I180" s="5" t="s">
        <v>816</v>
      </c>
      <c r="J180" s="4">
        <v>3</v>
      </c>
      <c r="K180" s="2" t="s">
        <v>498</v>
      </c>
      <c r="L180" s="2" t="s">
        <v>4</v>
      </c>
      <c r="M180" s="4" t="str">
        <f t="shared" si="65"/>
        <v>Message_warning_icon_82</v>
      </c>
      <c r="N180" s="21" t="s">
        <v>1544</v>
      </c>
      <c r="O180" t="str">
        <f t="shared" si="59"/>
        <v>Wrn_PullOutChargerWrn</v>
      </c>
      <c r="P180" s="2" t="str">
        <f t="shared" si="58"/>
        <v>WrnList_PullOutChargerWrn</v>
      </c>
      <c r="Q180" t="str">
        <f>IFERROR(VLOOKUP(B180,AppWarningConfig!E:K,7,FALSE),0)</f>
        <v>AUDM_nenLCDGong</v>
      </c>
      <c r="R180" s="2">
        <f t="shared" si="64"/>
        <v>18</v>
      </c>
      <c r="S180" s="41" t="str">
        <f t="shared" si="62"/>
        <v>trigger PullOutChargerWrn</v>
      </c>
      <c r="T180" s="41" t="str">
        <f t="shared" si="63"/>
        <v>cancel PullOutChargerWrn</v>
      </c>
    </row>
    <row r="181" spans="1:20">
      <c r="A181" s="16">
        <f t="shared" si="60"/>
        <v>180</v>
      </c>
      <c r="B181" s="23" t="s">
        <v>967</v>
      </c>
      <c r="C181" s="2" t="s">
        <v>6</v>
      </c>
      <c r="D181" s="14" t="s">
        <v>15</v>
      </c>
      <c r="E181" s="5" t="s">
        <v>813</v>
      </c>
      <c r="F181" s="17" t="s">
        <v>814</v>
      </c>
      <c r="G181" s="3">
        <v>2000</v>
      </c>
      <c r="H181" s="2">
        <v>70</v>
      </c>
      <c r="I181" s="5" t="s">
        <v>816</v>
      </c>
      <c r="J181" s="4">
        <v>3</v>
      </c>
      <c r="K181" s="2" t="s">
        <v>491</v>
      </c>
      <c r="L181" s="2" t="s">
        <v>4</v>
      </c>
      <c r="M181" s="4" t="str">
        <f t="shared" si="65"/>
        <v>Message_warning_icon_80</v>
      </c>
      <c r="N181" s="21" t="s">
        <v>1542</v>
      </c>
      <c r="O181" t="str">
        <f t="shared" si="59"/>
        <v>Wrn_PTGFaultWrn</v>
      </c>
      <c r="P181" s="2" t="str">
        <f t="shared" si="58"/>
        <v>WrnList_PTGFaultWrn</v>
      </c>
      <c r="Q181" t="str">
        <f>IFERROR(VLOOKUP(B181,AppWarningConfig!E:K,7,FALSE),0)</f>
        <v>AUDM_nenLCDGong</v>
      </c>
      <c r="R181" s="2">
        <f t="shared" si="64"/>
        <v>18</v>
      </c>
      <c r="S181" s="41" t="str">
        <f t="shared" si="62"/>
        <v>trigger PTGFaultWrn</v>
      </c>
      <c r="T181" s="41" t="str">
        <f t="shared" si="63"/>
        <v>cancel PTGFaultWrn</v>
      </c>
    </row>
    <row r="182" spans="1:20">
      <c r="A182" s="16">
        <f t="shared" si="60"/>
        <v>181</v>
      </c>
      <c r="B182" s="23" t="s">
        <v>999</v>
      </c>
      <c r="C182" s="2" t="s">
        <v>6</v>
      </c>
      <c r="D182" s="14" t="s">
        <v>15</v>
      </c>
      <c r="E182" s="5" t="s">
        <v>813</v>
      </c>
      <c r="F182" s="17" t="s">
        <v>814</v>
      </c>
      <c r="G182" s="3">
        <v>2000</v>
      </c>
      <c r="H182" s="2">
        <v>70</v>
      </c>
      <c r="I182" s="5" t="s">
        <v>816</v>
      </c>
      <c r="J182" s="4">
        <v>3</v>
      </c>
      <c r="K182" s="2" t="s">
        <v>490</v>
      </c>
      <c r="L182" s="2" t="s">
        <v>4</v>
      </c>
      <c r="M182" s="4" t="str">
        <f t="shared" si="65"/>
        <v>Message_warning_icon_79</v>
      </c>
      <c r="N182" s="21" t="s">
        <v>1541</v>
      </c>
      <c r="O182" t="str">
        <f t="shared" si="59"/>
        <v>Wrn_PTGAntipinchWrn</v>
      </c>
      <c r="P182" s="2" t="str">
        <f t="shared" si="58"/>
        <v>WrnList_PTGAntipinchWrn</v>
      </c>
      <c r="Q182" t="str">
        <f>IFERROR(VLOOKUP(B182,AppWarningConfig!E:K,7,FALSE),0)</f>
        <v>AUDM_nenLCDGong</v>
      </c>
      <c r="R182" s="2">
        <f t="shared" si="64"/>
        <v>18</v>
      </c>
      <c r="S182" s="41" t="str">
        <f t="shared" si="62"/>
        <v>trigger PTGAntipinchWrn</v>
      </c>
      <c r="T182" s="41" t="str">
        <f t="shared" si="63"/>
        <v>cancel PTGAntipinchWrn</v>
      </c>
    </row>
    <row r="188" spans="1:20" s="13" customFormat="1">
      <c r="S188" s="42"/>
      <c r="T188" s="42"/>
    </row>
    <row r="192" spans="1:20">
      <c r="B192" s="13"/>
    </row>
  </sheetData>
  <sheetProtection selectLockedCells="1"/>
  <autoFilter ref="A1:T182"/>
  <sortState ref="A2:Y73">
    <sortCondition ref="A1"/>
  </sortState>
  <dataConsolidate/>
  <phoneticPr fontId="125" type="noConversion"/>
  <conditionalFormatting sqref="N152 K167:L167 L127:L182 K128:K182 K2:L126">
    <cfRule type="cellIs" dxfId="45" priority="106" operator="equal">
      <formula>"Not"</formula>
    </cfRule>
  </conditionalFormatting>
  <conditionalFormatting sqref="B3">
    <cfRule type="expression" dxfId="44" priority="84">
      <formula>$F3="False"</formula>
    </cfRule>
  </conditionalFormatting>
  <conditionalFormatting sqref="B8">
    <cfRule type="expression" dxfId="43" priority="82">
      <formula>$F8="False"</formula>
    </cfRule>
  </conditionalFormatting>
  <conditionalFormatting sqref="B7">
    <cfRule type="expression" dxfId="42" priority="81">
      <formula>$F7="False"</formula>
    </cfRule>
  </conditionalFormatting>
  <conditionalFormatting sqref="B23">
    <cfRule type="expression" dxfId="41" priority="75">
      <formula>$F23="False"</formula>
    </cfRule>
  </conditionalFormatting>
  <conditionalFormatting sqref="B24">
    <cfRule type="expression" dxfId="40" priority="74">
      <formula>$F24="False"</formula>
    </cfRule>
  </conditionalFormatting>
  <conditionalFormatting sqref="B20:B22">
    <cfRule type="expression" dxfId="39" priority="67">
      <formula>$F20="False"</formula>
    </cfRule>
  </conditionalFormatting>
  <conditionalFormatting sqref="B17:B18">
    <cfRule type="expression" dxfId="38" priority="64">
      <formula>$F17="False"</formula>
    </cfRule>
  </conditionalFormatting>
  <conditionalFormatting sqref="B19">
    <cfRule type="expression" dxfId="37" priority="63">
      <formula>$F19="False"</formula>
    </cfRule>
  </conditionalFormatting>
  <conditionalFormatting sqref="B13">
    <cfRule type="expression" dxfId="36" priority="62">
      <formula>$F13="False"</formula>
    </cfRule>
  </conditionalFormatting>
  <conditionalFormatting sqref="B14">
    <cfRule type="expression" dxfId="35" priority="61">
      <formula>$F14="False"</formula>
    </cfRule>
  </conditionalFormatting>
  <conditionalFormatting sqref="B12">
    <cfRule type="expression" dxfId="34" priority="60">
      <formula>$F12="False"</formula>
    </cfRule>
  </conditionalFormatting>
  <conditionalFormatting sqref="B11">
    <cfRule type="expression" dxfId="33" priority="59">
      <formula>$F11="False"</formula>
    </cfRule>
  </conditionalFormatting>
  <conditionalFormatting sqref="B11:B12">
    <cfRule type="expression" dxfId="32" priority="58">
      <formula>$F11="False"</formula>
    </cfRule>
  </conditionalFormatting>
  <conditionalFormatting sqref="B22">
    <cfRule type="expression" dxfId="31" priority="56">
      <formula>$F22="False"</formula>
    </cfRule>
  </conditionalFormatting>
  <conditionalFormatting sqref="B22:B23">
    <cfRule type="expression" dxfId="30" priority="55">
      <formula>$F22="False"</formula>
    </cfRule>
  </conditionalFormatting>
  <conditionalFormatting sqref="B24">
    <cfRule type="expression" dxfId="29" priority="51">
      <formula>$F24="False"</formula>
    </cfRule>
  </conditionalFormatting>
  <conditionalFormatting sqref="B18">
    <cfRule type="expression" dxfId="28" priority="37">
      <formula>$F18="False"</formula>
    </cfRule>
  </conditionalFormatting>
  <conditionalFormatting sqref="B19">
    <cfRule type="expression" dxfId="27" priority="36">
      <formula>$F19="False"</formula>
    </cfRule>
  </conditionalFormatting>
  <conditionalFormatting sqref="B19">
    <cfRule type="expression" dxfId="26" priority="35">
      <formula>$F19="False"</formula>
    </cfRule>
  </conditionalFormatting>
  <conditionalFormatting sqref="B19">
    <cfRule type="expression" dxfId="25" priority="34">
      <formula>$F19="False"</formula>
    </cfRule>
  </conditionalFormatting>
  <conditionalFormatting sqref="B70">
    <cfRule type="expression" dxfId="24" priority="19">
      <formula>$G70="False"</formula>
    </cfRule>
  </conditionalFormatting>
  <conditionalFormatting sqref="B70">
    <cfRule type="expression" dxfId="23" priority="18">
      <formula>$G70="False"</formula>
    </cfRule>
  </conditionalFormatting>
  <conditionalFormatting sqref="B70">
    <cfRule type="expression" dxfId="22" priority="17">
      <formula>$G70="False"</formula>
    </cfRule>
  </conditionalFormatting>
  <conditionalFormatting sqref="B21">
    <cfRule type="expression" dxfId="21" priority="16">
      <formula>$F21="False"</formula>
    </cfRule>
  </conditionalFormatting>
  <conditionalFormatting sqref="B21">
    <cfRule type="expression" dxfId="20" priority="15">
      <formula>$F21="False"</formula>
    </cfRule>
  </conditionalFormatting>
  <conditionalFormatting sqref="B6">
    <cfRule type="expression" dxfId="19" priority="14">
      <formula>$F6="False"</formula>
    </cfRule>
  </conditionalFormatting>
  <conditionalFormatting sqref="B5">
    <cfRule type="expression" dxfId="18" priority="13">
      <formula>$F5="False"</formula>
    </cfRule>
  </conditionalFormatting>
  <conditionalFormatting sqref="B30">
    <cfRule type="expression" dxfId="17" priority="12">
      <formula>$F30="False"</formula>
    </cfRule>
  </conditionalFormatting>
  <conditionalFormatting sqref="B30">
    <cfRule type="expression" dxfId="16" priority="11">
      <formula>$F30="False"</formula>
    </cfRule>
  </conditionalFormatting>
  <conditionalFormatting sqref="B30">
    <cfRule type="expression" dxfId="15" priority="10">
      <formula>$F30="False"</formula>
    </cfRule>
  </conditionalFormatting>
  <conditionalFormatting sqref="B53">
    <cfRule type="expression" dxfId="14" priority="9">
      <formula>$F53="False"</formula>
    </cfRule>
  </conditionalFormatting>
  <conditionalFormatting sqref="B53">
    <cfRule type="expression" dxfId="13" priority="8">
      <formula>$F53="False"</formula>
    </cfRule>
  </conditionalFormatting>
  <conditionalFormatting sqref="B53">
    <cfRule type="expression" dxfId="12" priority="7">
      <formula>$F53="False"</formula>
    </cfRule>
  </conditionalFormatting>
  <conditionalFormatting sqref="B66">
    <cfRule type="expression" dxfId="11" priority="6">
      <formula>$G66="False"</formula>
    </cfRule>
  </conditionalFormatting>
  <conditionalFormatting sqref="B66">
    <cfRule type="expression" dxfId="10" priority="5">
      <formula>$G66="False"</formula>
    </cfRule>
  </conditionalFormatting>
  <conditionalFormatting sqref="B66">
    <cfRule type="expression" dxfId="9" priority="4">
      <formula>$G66="False"</formula>
    </cfRule>
  </conditionalFormatting>
  <conditionalFormatting sqref="K64:K67">
    <cfRule type="expression" dxfId="8" priority="3">
      <formula>$G64="False"</formula>
    </cfRule>
  </conditionalFormatting>
  <conditionalFormatting sqref="K92">
    <cfRule type="expression" dxfId="7" priority="2">
      <formula>$G92="False"</formula>
    </cfRule>
  </conditionalFormatting>
  <conditionalFormatting sqref="K93">
    <cfRule type="expression" dxfId="6" priority="1">
      <formula>$G93="False"</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5"/>
  <dimension ref="A1:R44"/>
  <sheetViews>
    <sheetView topLeftCell="A43" workbookViewId="0">
      <selection activeCell="F21" sqref="F21"/>
    </sheetView>
  </sheetViews>
  <sheetFormatPr defaultColWidth="8.75" defaultRowHeight="14.25"/>
  <cols>
    <col min="1" max="1" width="8.75" style="6"/>
    <col min="2" max="2" width="32.75" style="6" bestFit="1" customWidth="1"/>
    <col min="3" max="3" width="25.875" style="6" customWidth="1"/>
    <col min="4" max="4" width="23.375" style="6" bestFit="1" customWidth="1"/>
    <col min="5" max="5" width="18.75" style="6" customWidth="1"/>
    <col min="6" max="6" width="20.5" style="6" customWidth="1"/>
    <col min="7" max="7" width="25.375" style="6" bestFit="1" customWidth="1"/>
    <col min="8" max="8" width="12.25" style="6" customWidth="1"/>
    <col min="9" max="9" width="11.5" style="6" bestFit="1" customWidth="1"/>
    <col min="10" max="10" width="11.875" style="6" bestFit="1" customWidth="1"/>
    <col min="11" max="13" width="8.75" style="6"/>
    <col min="14" max="14" width="3.875" style="6" customWidth="1"/>
    <col min="15" max="15" width="16.875" style="6" customWidth="1"/>
    <col min="16" max="16" width="14.5" style="6" customWidth="1"/>
    <col min="17" max="17" width="25.375" style="6" customWidth="1"/>
    <col min="18" max="18" width="16.125" style="6" customWidth="1"/>
    <col min="19" max="16384" width="8.75" style="6"/>
  </cols>
  <sheetData>
    <row r="1" spans="1:18" ht="15">
      <c r="A1" s="10"/>
      <c r="O1" s="8"/>
      <c r="P1" s="8"/>
      <c r="Q1" s="8"/>
      <c r="R1" s="8"/>
    </row>
    <row r="2" spans="1:18" ht="15">
      <c r="A2" s="10"/>
      <c r="B2" s="8" t="s">
        <v>17</v>
      </c>
      <c r="C2" s="12" t="s">
        <v>25</v>
      </c>
      <c r="O2" s="10"/>
      <c r="P2" s="10"/>
      <c r="Q2" s="10"/>
      <c r="R2" s="10"/>
    </row>
    <row r="3" spans="1:18">
      <c r="A3" s="10"/>
      <c r="O3" s="10"/>
      <c r="Q3" s="10"/>
      <c r="R3" s="10"/>
    </row>
    <row r="4" spans="1:18" ht="15">
      <c r="B4" s="8" t="s">
        <v>786</v>
      </c>
      <c r="C4" s="7" t="s">
        <v>787</v>
      </c>
      <c r="O4" s="10"/>
    </row>
    <row r="5" spans="1:18">
      <c r="B5" s="19" t="s">
        <v>18</v>
      </c>
      <c r="C5" s="6">
        <v>2</v>
      </c>
      <c r="O5" s="10"/>
    </row>
    <row r="6" spans="1:18">
      <c r="B6" s="19" t="s">
        <v>19</v>
      </c>
      <c r="C6" s="6">
        <f>COUNTIF(WarningConfig!A:A, "&lt;&gt;"&amp;"")</f>
        <v>182</v>
      </c>
      <c r="O6" s="10"/>
    </row>
    <row r="7" spans="1:18" ht="15">
      <c r="B7" s="8" t="s">
        <v>2</v>
      </c>
      <c r="C7" s="7" t="s">
        <v>21</v>
      </c>
      <c r="O7" s="10"/>
    </row>
    <row r="8" spans="1:18">
      <c r="B8" s="19" t="s">
        <v>18</v>
      </c>
      <c r="C8" s="6">
        <f>A15</f>
        <v>15</v>
      </c>
      <c r="O8" s="10"/>
    </row>
    <row r="9" spans="1:18">
      <c r="B9" s="19" t="s">
        <v>19</v>
      </c>
      <c r="C9" s="6">
        <f>A32</f>
        <v>32</v>
      </c>
      <c r="O9" s="10"/>
    </row>
    <row r="10" spans="1:18" ht="15">
      <c r="B10" s="8" t="s">
        <v>20</v>
      </c>
      <c r="C10" s="7" t="s">
        <v>21</v>
      </c>
      <c r="O10" s="10"/>
    </row>
    <row r="11" spans="1:18">
      <c r="B11" s="19" t="s">
        <v>18</v>
      </c>
      <c r="C11" s="6">
        <f>A34</f>
        <v>34</v>
      </c>
      <c r="O11" s="10"/>
    </row>
    <row r="12" spans="1:18">
      <c r="B12" s="19" t="s">
        <v>19</v>
      </c>
      <c r="C12" s="6">
        <f>A35</f>
        <v>35</v>
      </c>
      <c r="O12" s="10"/>
    </row>
    <row r="13" spans="1:18">
      <c r="A13" s="10"/>
      <c r="O13" s="10"/>
    </row>
    <row r="14" spans="1:18" ht="15">
      <c r="A14" s="10"/>
      <c r="B14" s="8" t="s">
        <v>2</v>
      </c>
      <c r="C14" s="8" t="s">
        <v>12</v>
      </c>
      <c r="D14" s="8" t="s">
        <v>13</v>
      </c>
      <c r="E14" s="11"/>
      <c r="O14" s="10"/>
    </row>
    <row r="15" spans="1:18">
      <c r="A15" s="9">
        <f>ROW()</f>
        <v>15</v>
      </c>
      <c r="B15" s="20" t="s">
        <v>40</v>
      </c>
      <c r="C15" s="20" t="s">
        <v>44</v>
      </c>
      <c r="D15" s="20" t="s">
        <v>84</v>
      </c>
    </row>
    <row r="16" spans="1:18">
      <c r="B16" s="20" t="s">
        <v>41</v>
      </c>
      <c r="C16" s="20" t="s">
        <v>44</v>
      </c>
      <c r="D16" s="20" t="s">
        <v>84</v>
      </c>
    </row>
    <row r="17" spans="1:8">
      <c r="B17" s="20" t="s">
        <v>42</v>
      </c>
      <c r="C17" s="20" t="s">
        <v>44</v>
      </c>
      <c r="D17" s="20" t="s">
        <v>84</v>
      </c>
      <c r="H17" s="11"/>
    </row>
    <row r="18" spans="1:8">
      <c r="B18" s="20" t="s">
        <v>43</v>
      </c>
      <c r="C18" s="20" t="s">
        <v>44</v>
      </c>
      <c r="D18" s="20" t="s">
        <v>84</v>
      </c>
    </row>
    <row r="19" spans="1:8">
      <c r="A19" s="9"/>
      <c r="B19" s="20" t="s">
        <v>36</v>
      </c>
      <c r="C19" s="20" t="s">
        <v>44</v>
      </c>
      <c r="D19" s="20" t="s">
        <v>84</v>
      </c>
    </row>
    <row r="20" spans="1:8">
      <c r="A20" s="9"/>
      <c r="B20" s="20" t="s">
        <v>33</v>
      </c>
      <c r="C20" s="20" t="s">
        <v>44</v>
      </c>
      <c r="D20" s="20" t="s">
        <v>84</v>
      </c>
    </row>
    <row r="21" spans="1:8">
      <c r="A21" s="9"/>
      <c r="B21" s="20" t="s">
        <v>34</v>
      </c>
      <c r="C21" s="20" t="s">
        <v>44</v>
      </c>
      <c r="D21" s="20" t="s">
        <v>84</v>
      </c>
    </row>
    <row r="22" spans="1:8">
      <c r="A22" s="9"/>
      <c r="B22" s="20" t="s">
        <v>32</v>
      </c>
      <c r="C22" s="20" t="s">
        <v>44</v>
      </c>
      <c r="D22" s="20" t="s">
        <v>84</v>
      </c>
    </row>
    <row r="23" spans="1:8">
      <c r="A23" s="9"/>
      <c r="B23" s="20" t="s">
        <v>31</v>
      </c>
      <c r="C23" s="20" t="s">
        <v>44</v>
      </c>
      <c r="D23" s="20" t="s">
        <v>84</v>
      </c>
    </row>
    <row r="24" spans="1:8">
      <c r="A24" s="9"/>
      <c r="B24" s="20" t="s">
        <v>29</v>
      </c>
      <c r="C24" s="20" t="s">
        <v>44</v>
      </c>
      <c r="D24" s="20" t="s">
        <v>84</v>
      </c>
    </row>
    <row r="25" spans="1:8">
      <c r="A25" s="9"/>
      <c r="B25" s="20" t="s">
        <v>39</v>
      </c>
      <c r="C25" s="20" t="s">
        <v>44</v>
      </c>
      <c r="D25" s="20" t="s">
        <v>84</v>
      </c>
    </row>
    <row r="26" spans="1:8">
      <c r="A26" s="9"/>
      <c r="B26" s="20" t="s">
        <v>30</v>
      </c>
      <c r="C26" s="20" t="s">
        <v>44</v>
      </c>
      <c r="D26" s="20" t="s">
        <v>84</v>
      </c>
    </row>
    <row r="27" spans="1:8">
      <c r="A27" s="9"/>
      <c r="B27" s="20" t="s">
        <v>35</v>
      </c>
      <c r="C27" s="20" t="s">
        <v>44</v>
      </c>
      <c r="D27" s="20" t="s">
        <v>84</v>
      </c>
    </row>
    <row r="28" spans="1:8">
      <c r="A28" s="9"/>
      <c r="B28" s="20" t="s">
        <v>37</v>
      </c>
      <c r="C28" s="20" t="s">
        <v>44</v>
      </c>
      <c r="D28" s="20" t="s">
        <v>84</v>
      </c>
    </row>
    <row r="29" spans="1:8">
      <c r="A29" s="9"/>
      <c r="B29" s="20" t="s">
        <v>38</v>
      </c>
      <c r="C29" s="20" t="s">
        <v>44</v>
      </c>
      <c r="D29" s="20" t="s">
        <v>84</v>
      </c>
    </row>
    <row r="30" spans="1:8">
      <c r="A30" s="9"/>
      <c r="B30" s="20" t="s">
        <v>28</v>
      </c>
      <c r="C30" s="20" t="s">
        <v>44</v>
      </c>
      <c r="D30" s="20" t="s">
        <v>84</v>
      </c>
    </row>
    <row r="31" spans="1:8">
      <c r="B31" s="20" t="s">
        <v>9</v>
      </c>
      <c r="C31" s="20" t="s">
        <v>14</v>
      </c>
      <c r="D31" s="20" t="s">
        <v>11</v>
      </c>
    </row>
    <row r="32" spans="1:8">
      <c r="A32" s="9">
        <f>ROW()</f>
        <v>32</v>
      </c>
      <c r="B32" s="20" t="s">
        <v>8</v>
      </c>
      <c r="C32" s="20" t="s">
        <v>44</v>
      </c>
      <c r="D32" s="20" t="s">
        <v>84</v>
      </c>
    </row>
    <row r="33" spans="1:16" ht="15">
      <c r="B33" s="8" t="s">
        <v>20</v>
      </c>
      <c r="C33" s="8" t="s">
        <v>1</v>
      </c>
      <c r="D33" s="8" t="s">
        <v>10</v>
      </c>
      <c r="E33" s="8" t="s">
        <v>94</v>
      </c>
      <c r="F33" s="8" t="s">
        <v>800</v>
      </c>
      <c r="G33" s="8" t="s">
        <v>801</v>
      </c>
      <c r="H33" s="8" t="s">
        <v>802</v>
      </c>
      <c r="I33" s="8" t="s">
        <v>803</v>
      </c>
      <c r="J33" s="8" t="s">
        <v>804</v>
      </c>
      <c r="K33" s="8" t="s">
        <v>805</v>
      </c>
      <c r="L33" s="8" t="s">
        <v>806</v>
      </c>
      <c r="M33" s="8" t="s">
        <v>807</v>
      </c>
      <c r="N33" s="8" t="s">
        <v>808</v>
      </c>
      <c r="O33" s="8" t="s">
        <v>809</v>
      </c>
      <c r="P33" s="8" t="s">
        <v>810</v>
      </c>
    </row>
    <row r="34" spans="1:16">
      <c r="A34" s="9">
        <f>ROW()</f>
        <v>34</v>
      </c>
      <c r="B34" s="18" t="s">
        <v>16</v>
      </c>
      <c r="C34" s="18" t="s">
        <v>22</v>
      </c>
      <c r="D34" s="18">
        <v>1</v>
      </c>
      <c r="E34" s="18" t="s">
        <v>0</v>
      </c>
      <c r="F34" s="18"/>
      <c r="G34" s="18"/>
      <c r="H34" s="18"/>
      <c r="I34" s="18"/>
      <c r="J34" s="18"/>
      <c r="K34" s="18"/>
      <c r="L34" s="18"/>
      <c r="M34" s="18"/>
      <c r="N34" s="18"/>
      <c r="O34" s="18"/>
      <c r="P34" s="18"/>
    </row>
    <row r="35" spans="1:16">
      <c r="A35" s="9">
        <f>ROW()</f>
        <v>35</v>
      </c>
      <c r="B35" s="18" t="s">
        <v>7</v>
      </c>
      <c r="C35" s="18" t="s">
        <v>23</v>
      </c>
      <c r="D35" s="18">
        <v>3</v>
      </c>
      <c r="E35" s="18" t="s">
        <v>4</v>
      </c>
      <c r="F35" s="18" t="s">
        <v>111</v>
      </c>
      <c r="G35" s="18" t="s">
        <v>794</v>
      </c>
      <c r="H35" s="18" t="s">
        <v>795</v>
      </c>
      <c r="I35" s="18" t="s">
        <v>797</v>
      </c>
      <c r="J35" s="18" t="s">
        <v>96</v>
      </c>
      <c r="K35" s="18" t="s">
        <v>985</v>
      </c>
      <c r="L35" s="18"/>
      <c r="M35" s="18"/>
      <c r="N35" s="18"/>
      <c r="O35" s="18"/>
      <c r="P35" s="18"/>
    </row>
    <row r="37" spans="1:16" ht="15">
      <c r="B37" s="39" t="s">
        <v>788</v>
      </c>
      <c r="C37" s="10" t="s">
        <v>789</v>
      </c>
    </row>
    <row r="38" spans="1:16" ht="15">
      <c r="B38" s="8" t="s">
        <v>790</v>
      </c>
      <c r="C38" s="8" t="s">
        <v>791</v>
      </c>
      <c r="D38" s="8" t="s">
        <v>792</v>
      </c>
    </row>
    <row r="39" spans="1:16">
      <c r="B39" s="10" t="s">
        <v>111</v>
      </c>
      <c r="C39" s="6" t="s">
        <v>793</v>
      </c>
      <c r="D39" s="6" t="s">
        <v>0</v>
      </c>
    </row>
    <row r="40" spans="1:16">
      <c r="B40" s="6" t="s">
        <v>794</v>
      </c>
      <c r="C40" s="6" t="s">
        <v>793</v>
      </c>
      <c r="D40" s="6" t="s">
        <v>10</v>
      </c>
    </row>
    <row r="41" spans="1:16">
      <c r="B41" s="6" t="s">
        <v>795</v>
      </c>
      <c r="C41" s="6" t="s">
        <v>796</v>
      </c>
      <c r="D41" s="6" t="s">
        <v>784</v>
      </c>
    </row>
    <row r="42" spans="1:16">
      <c r="B42" s="6" t="s">
        <v>797</v>
      </c>
      <c r="C42" s="6" t="s">
        <v>796</v>
      </c>
      <c r="D42" s="10" t="s">
        <v>783</v>
      </c>
    </row>
    <row r="43" spans="1:16">
      <c r="B43" s="6" t="s">
        <v>96</v>
      </c>
      <c r="C43" s="6" t="s">
        <v>796</v>
      </c>
      <c r="D43" s="10" t="s">
        <v>96</v>
      </c>
    </row>
    <row r="44" spans="1:16">
      <c r="B44" s="6" t="s">
        <v>985</v>
      </c>
      <c r="C44" s="6" t="s">
        <v>793</v>
      </c>
      <c r="D44" s="6" t="s">
        <v>973</v>
      </c>
    </row>
  </sheetData>
  <phoneticPr fontId="125"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
  <dimension ref="A1:Y133"/>
  <sheetViews>
    <sheetView topLeftCell="G1" workbookViewId="0">
      <selection activeCell="C47" sqref="C47"/>
    </sheetView>
  </sheetViews>
  <sheetFormatPr defaultRowHeight="14.25"/>
  <cols>
    <col min="2" max="2" width="22.125" customWidth="1"/>
    <col min="3" max="3" width="29.5" customWidth="1"/>
    <col min="4" max="8" width="26.75" customWidth="1"/>
    <col min="9" max="9" width="13" customWidth="1"/>
    <col min="11" max="11" width="27" bestFit="1" customWidth="1"/>
    <col min="12" max="12" width="22.375" bestFit="1" customWidth="1"/>
    <col min="13" max="17" width="18.625" customWidth="1"/>
    <col min="18" max="18" width="21.5" bestFit="1" customWidth="1"/>
    <col min="19" max="19" width="21.875" customWidth="1"/>
    <col min="20" max="20" width="19.5" customWidth="1"/>
    <col min="21" max="21" width="23.625" customWidth="1"/>
    <col min="22" max="22" width="16.25" customWidth="1"/>
    <col min="23" max="23" width="16.125" customWidth="1"/>
    <col min="24" max="24" width="14.75" customWidth="1"/>
    <col min="25" max="25" width="16.625" customWidth="1"/>
  </cols>
  <sheetData>
    <row r="1" spans="1:25">
      <c r="A1" s="2" t="s">
        <v>94</v>
      </c>
      <c r="B1" s="25" t="s">
        <v>487</v>
      </c>
      <c r="C1" s="25" t="s">
        <v>51</v>
      </c>
      <c r="D1" s="25" t="s">
        <v>52</v>
      </c>
      <c r="E1" s="25" t="s">
        <v>1532</v>
      </c>
      <c r="F1" s="25" t="s">
        <v>1533</v>
      </c>
      <c r="G1" s="25" t="s">
        <v>1534</v>
      </c>
      <c r="H1" s="25" t="s">
        <v>1535</v>
      </c>
      <c r="J1" s="2" t="s">
        <v>94</v>
      </c>
      <c r="K1" s="25" t="s">
        <v>487</v>
      </c>
      <c r="L1" s="25" t="s">
        <v>51</v>
      </c>
      <c r="M1" s="25" t="s">
        <v>52</v>
      </c>
      <c r="N1" s="25" t="s">
        <v>1532</v>
      </c>
      <c r="O1" s="25" t="s">
        <v>1534</v>
      </c>
      <c r="P1" s="25" t="s">
        <v>1533</v>
      </c>
      <c r="Q1" s="25" t="s">
        <v>1535</v>
      </c>
    </row>
    <row r="2" spans="1:25" ht="28.5">
      <c r="A2" s="2" t="s">
        <v>759</v>
      </c>
      <c r="B2" s="36" t="s">
        <v>781</v>
      </c>
      <c r="J2" s="2" t="s">
        <v>759</v>
      </c>
      <c r="K2" s="36" t="s">
        <v>779</v>
      </c>
      <c r="S2" s="36" t="s">
        <v>780</v>
      </c>
    </row>
    <row r="3" spans="1:25">
      <c r="A3" s="2" t="s">
        <v>759</v>
      </c>
      <c r="B3" s="2"/>
      <c r="J3" s="2" t="s">
        <v>759</v>
      </c>
      <c r="K3" s="2"/>
    </row>
    <row r="4" spans="1:25">
      <c r="A4" s="2"/>
      <c r="B4" s="34" t="s">
        <v>748</v>
      </c>
      <c r="C4" s="35" t="s">
        <v>749</v>
      </c>
      <c r="D4" s="35" t="s">
        <v>555</v>
      </c>
      <c r="E4" s="35"/>
      <c r="F4" s="35"/>
      <c r="G4" s="35"/>
      <c r="H4" s="35"/>
      <c r="J4" s="2" t="s">
        <v>759</v>
      </c>
    </row>
    <row r="5" spans="1:25">
      <c r="A5" s="14"/>
      <c r="B5" s="48" t="s">
        <v>745</v>
      </c>
      <c r="C5" s="35" t="s">
        <v>1089</v>
      </c>
      <c r="D5" s="35" t="s">
        <v>1090</v>
      </c>
      <c r="E5" s="35"/>
      <c r="F5" s="35"/>
      <c r="G5" s="35"/>
      <c r="H5" s="35"/>
      <c r="J5" s="2" t="s">
        <v>759</v>
      </c>
    </row>
    <row r="6" spans="1:25">
      <c r="A6" s="14"/>
      <c r="B6" s="34" t="s">
        <v>764</v>
      </c>
      <c r="C6" s="35" t="s">
        <v>765</v>
      </c>
      <c r="D6" s="35" t="s">
        <v>765</v>
      </c>
      <c r="E6" s="35"/>
      <c r="F6" s="35"/>
      <c r="G6" s="35"/>
      <c r="H6" s="35"/>
      <c r="J6" s="2" t="s">
        <v>759</v>
      </c>
    </row>
    <row r="7" spans="1:25">
      <c r="A7" s="14"/>
      <c r="B7" s="34" t="s">
        <v>488</v>
      </c>
      <c r="C7" s="35"/>
      <c r="D7" s="35"/>
      <c r="E7" s="35"/>
      <c r="F7" s="35"/>
      <c r="G7" s="35"/>
      <c r="H7" s="35"/>
      <c r="J7" s="2" t="s">
        <v>759</v>
      </c>
    </row>
    <row r="8" spans="1:25">
      <c r="A8" s="14"/>
      <c r="B8" s="34" t="str">
        <f>WarningConfig!O57</f>
        <v>Wrn_AEBPleaseBrakeWrn</v>
      </c>
      <c r="C8" s="35" t="s">
        <v>528</v>
      </c>
      <c r="D8" s="35" t="s">
        <v>527</v>
      </c>
      <c r="E8" s="35" t="s">
        <v>1433</v>
      </c>
      <c r="F8" s="35" t="s">
        <v>1434</v>
      </c>
      <c r="G8" s="35" t="s">
        <v>1435</v>
      </c>
      <c r="H8" s="35" t="s">
        <v>1436</v>
      </c>
      <c r="J8" s="14"/>
      <c r="K8" s="34" t="str">
        <f>WarningConfig!P57</f>
        <v>WrnList_AEBPleaseBrakeWrn</v>
      </c>
      <c r="L8" s="35" t="s">
        <v>528</v>
      </c>
      <c r="M8" s="35" t="s">
        <v>527</v>
      </c>
      <c r="N8" s="35" t="s">
        <v>1433</v>
      </c>
      <c r="O8" s="35" t="s">
        <v>1435</v>
      </c>
      <c r="P8" s="35" t="s">
        <v>1434</v>
      </c>
      <c r="Q8" s="35" t="s">
        <v>1436</v>
      </c>
      <c r="S8" t="str">
        <f>WarningConfig!B57</f>
        <v>AEBPleaseBrakeWrn</v>
      </c>
      <c r="T8" t="str">
        <f>WarningConfig!K57</f>
        <v>请制动</v>
      </c>
      <c r="U8" t="str">
        <f>VLOOKUP(T8,UEInput!I:N,2,0)</f>
        <v>Please Brake</v>
      </c>
      <c r="V8" t="str">
        <f>VLOOKUP(T8,UEInput!I:N,3,0)</f>
        <v>Нажмите педаль тормоза</v>
      </c>
      <c r="W8" t="str">
        <f>VLOOKUP(T8,UEInput!I:N,5,0)</f>
        <v>يرجي الفرامل</v>
      </c>
      <c r="X8" t="str">
        <f>VLOOKUP(T8,UEInput!I:N,4,0)</f>
        <v>ترمز بگیرید</v>
      </c>
      <c r="Y8" t="str">
        <f>VLOOKUP(T8,UEInput!I:N,6,0)</f>
        <v>Por favor, frene</v>
      </c>
    </row>
    <row r="9" spans="1:25">
      <c r="A9" s="14"/>
      <c r="B9" s="34" t="str">
        <f>WarningConfig!O58</f>
        <v>Wrn_LightLeftOnWrn</v>
      </c>
      <c r="C9" s="35" t="s">
        <v>386</v>
      </c>
      <c r="D9" s="35" t="s">
        <v>547</v>
      </c>
      <c r="E9" s="35" t="s">
        <v>1359</v>
      </c>
      <c r="F9" s="35" t="s">
        <v>1360</v>
      </c>
      <c r="G9" s="35" t="s">
        <v>1361</v>
      </c>
      <c r="H9" s="35" t="s">
        <v>1362</v>
      </c>
      <c r="J9" s="14"/>
      <c r="K9" s="34" t="str">
        <f>WarningConfig!P58</f>
        <v>WrnList_LightLeftOnWrn</v>
      </c>
      <c r="L9" s="35" t="s">
        <v>386</v>
      </c>
      <c r="M9" s="35" t="s">
        <v>547</v>
      </c>
      <c r="N9" s="35" t="s">
        <v>1359</v>
      </c>
      <c r="O9" s="35" t="s">
        <v>1361</v>
      </c>
      <c r="P9" s="35" t="s">
        <v>1360</v>
      </c>
      <c r="Q9" s="35" t="s">
        <v>1362</v>
      </c>
      <c r="S9" t="str">
        <f>WarningConfig!B58</f>
        <v>LightLeftOnWrn</v>
      </c>
      <c r="T9" t="str">
        <f>WarningConfig!K58</f>
        <v>灯光未关</v>
      </c>
      <c r="U9" t="str">
        <f>VLOOKUP(T9,UEInput!I:N,2,0)</f>
        <v>Light On</v>
      </c>
      <c r="V9" t="str">
        <f>VLOOKUP(T9,UEInput!I:N,3,0)</f>
        <v>Не выключен свет</v>
      </c>
      <c r="W9" t="str">
        <f>VLOOKUP(T9,UEInput!I:N,5,0)</f>
        <v>لم يتم إغلاق الإضاءة</v>
      </c>
      <c r="X9" t="str">
        <f>VLOOKUP(T9,UEInput!I:N,4,0)</f>
        <v>چراغ خاموش نشد</v>
      </c>
      <c r="Y9" t="str">
        <f>VLOOKUP(T9,UEInput!I:N,6,0)</f>
        <v>No cerre la luz</v>
      </c>
    </row>
    <row r="10" spans="1:25">
      <c r="A10" s="14"/>
      <c r="B10" s="34" t="str">
        <f>WarningConfig!O59</f>
        <v>Wrn_DoorOpen</v>
      </c>
      <c r="C10" s="35" t="s">
        <v>1546</v>
      </c>
      <c r="D10" s="35" t="s">
        <v>1547</v>
      </c>
      <c r="E10" s="35" t="s">
        <v>473</v>
      </c>
      <c r="F10" s="35" t="s">
        <v>473</v>
      </c>
      <c r="G10" s="35" t="s">
        <v>473</v>
      </c>
      <c r="H10" s="35" t="s">
        <v>473</v>
      </c>
      <c r="J10" s="14"/>
      <c r="K10" s="34" t="str">
        <f>WarningConfig!P59</f>
        <v>WrnList_DoorOpen</v>
      </c>
      <c r="L10" s="35" t="s">
        <v>1546</v>
      </c>
      <c r="M10" s="35" t="s">
        <v>1547</v>
      </c>
      <c r="N10" s="35" t="s">
        <v>473</v>
      </c>
      <c r="O10" s="35" t="s">
        <v>473</v>
      </c>
      <c r="P10" s="35" t="s">
        <v>473</v>
      </c>
      <c r="Q10" s="35" t="s">
        <v>473</v>
      </c>
      <c r="S10" t="str">
        <f>WarningConfig!B59</f>
        <v>DoorOpen</v>
      </c>
      <c r="T10" t="str">
        <f>WarningConfig!K59</f>
        <v>门开安全带报警</v>
      </c>
      <c r="U10" t="str">
        <f>VLOOKUP(T10,UEInput!I:N,2,0)</f>
        <v>Door and Seatbelt</v>
      </c>
      <c r="V10" t="str">
        <f>VLOOKUP(T10,UEInput!I:N,3,0)</f>
        <v>NA</v>
      </c>
      <c r="W10" t="str">
        <f>VLOOKUP(T10,UEInput!I:N,5,0)</f>
        <v>NA</v>
      </c>
      <c r="X10" t="str">
        <f>VLOOKUP(T10,UEInput!I:N,4,0)</f>
        <v>NA</v>
      </c>
      <c r="Y10" t="str">
        <f>VLOOKUP(T10,UEInput!I:N,6,0)</f>
        <v>NA</v>
      </c>
    </row>
    <row r="11" spans="1:25">
      <c r="A11" s="14"/>
      <c r="B11" s="34" t="str">
        <f>WarningConfig!O60</f>
        <v>Wrn_EnterECOModeWrn</v>
      </c>
      <c r="C11" s="34" t="s">
        <v>343</v>
      </c>
      <c r="D11" s="34" t="s">
        <v>582</v>
      </c>
      <c r="E11" s="34" t="s">
        <v>1175</v>
      </c>
      <c r="F11" s="34" t="s">
        <v>1176</v>
      </c>
      <c r="G11" s="34" t="s">
        <v>1177</v>
      </c>
      <c r="H11" s="34" t="s">
        <v>1178</v>
      </c>
      <c r="J11" s="14"/>
      <c r="K11" s="34" t="str">
        <f>WarningConfig!P60</f>
        <v>WrnList_EnterECOModeWrn</v>
      </c>
      <c r="L11" s="35" t="s">
        <v>343</v>
      </c>
      <c r="M11" s="35" t="s">
        <v>582</v>
      </c>
      <c r="N11" s="35" t="s">
        <v>1175</v>
      </c>
      <c r="O11" s="35" t="s">
        <v>1177</v>
      </c>
      <c r="P11" s="35" t="s">
        <v>1176</v>
      </c>
      <c r="Q11" s="35" t="s">
        <v>1178</v>
      </c>
      <c r="S11" t="str">
        <f>WarningConfig!B60</f>
        <v>EnterECOModeWrn</v>
      </c>
      <c r="T11" t="str">
        <f>WarningConfig!K60</f>
        <v>进入经济模式</v>
      </c>
      <c r="U11" t="str">
        <f>VLOOKUP(T11,UEInput!I:N,2,0)</f>
        <v>Enter ECO Mode</v>
      </c>
      <c r="V11" t="str">
        <f>VLOOKUP(T11,UEInput!I:N,3,0)</f>
        <v>Включен режим экономии</v>
      </c>
      <c r="W11" t="str">
        <f>VLOOKUP(T11,UEInput!I:N,5,0)</f>
        <v>وضع الاقتصاد</v>
      </c>
      <c r="X11" t="str">
        <f>VLOOKUP(T11,UEInput!I:N,4,0)</f>
        <v>ورود به مد اقتصادی</v>
      </c>
      <c r="Y11" t="str">
        <f>VLOOKUP(T11,UEInput!I:N,6,0)</f>
        <v>Entra el modo económico</v>
      </c>
    </row>
    <row r="12" spans="1:25">
      <c r="A12" s="14"/>
      <c r="B12" s="34" t="str">
        <f>WarningConfig!O61</f>
        <v>Wrn_EnterSportModeWrn</v>
      </c>
      <c r="C12" s="34" t="s">
        <v>345</v>
      </c>
      <c r="D12" s="34" t="s">
        <v>581</v>
      </c>
      <c r="E12" s="34" t="s">
        <v>1179</v>
      </c>
      <c r="F12" s="34" t="s">
        <v>1180</v>
      </c>
      <c r="G12" s="34" t="s">
        <v>1181</v>
      </c>
      <c r="H12" s="34" t="s">
        <v>1182</v>
      </c>
      <c r="J12" s="14"/>
      <c r="K12" s="34" t="str">
        <f>WarningConfig!P61</f>
        <v>WrnList_EnterSportModeWrn</v>
      </c>
      <c r="L12" s="35" t="s">
        <v>345</v>
      </c>
      <c r="M12" s="35" t="s">
        <v>581</v>
      </c>
      <c r="N12" s="35" t="s">
        <v>1179</v>
      </c>
      <c r="O12" s="35" t="s">
        <v>1181</v>
      </c>
      <c r="P12" s="35" t="s">
        <v>1180</v>
      </c>
      <c r="Q12" s="35" t="s">
        <v>1182</v>
      </c>
      <c r="S12" t="str">
        <f>WarningConfig!B61</f>
        <v>EnterSportModeWrn</v>
      </c>
      <c r="T12" t="str">
        <f>WarningConfig!K61</f>
        <v>进入运动模式</v>
      </c>
      <c r="U12" t="str">
        <f>VLOOKUP(T12,UEInput!I:N,2,0)</f>
        <v>Enter Sport Mode</v>
      </c>
      <c r="V12" t="str">
        <f>VLOOKUP(T12,UEInput!I:N,3,0)</f>
        <v>Включен режим форсажа</v>
      </c>
      <c r="W12" t="str">
        <f>VLOOKUP(T12,UEInput!I:N,5,0)</f>
        <v>وضع الرياضة</v>
      </c>
      <c r="X12" t="str">
        <f>VLOOKUP(T12,UEInput!I:N,4,0)</f>
        <v>ورود به مد ورزشی</v>
      </c>
      <c r="Y12" t="str">
        <f>VLOOKUP(T12,UEInput!I:N,6,0)</f>
        <v>Entra el modo de movimiento</v>
      </c>
    </row>
    <row r="13" spans="1:25">
      <c r="A13" s="14"/>
      <c r="B13" s="34" t="str">
        <f>WarningConfig!O62</f>
        <v>Wrn_EnterEcoFailWrn</v>
      </c>
      <c r="C13" s="34" t="s">
        <v>347</v>
      </c>
      <c r="D13" s="34" t="s">
        <v>580</v>
      </c>
      <c r="E13" s="34" t="s">
        <v>1183</v>
      </c>
      <c r="F13" s="34" t="s">
        <v>1184</v>
      </c>
      <c r="G13" s="34" t="s">
        <v>1185</v>
      </c>
      <c r="H13" s="34" t="s">
        <v>1186</v>
      </c>
      <c r="J13" s="14"/>
      <c r="K13" s="34" t="str">
        <f>WarningConfig!P62</f>
        <v>WrnList_EnterEcoFailWrn</v>
      </c>
      <c r="L13" s="35" t="s">
        <v>347</v>
      </c>
      <c r="M13" s="35" t="s">
        <v>726</v>
      </c>
      <c r="N13" s="35" t="s">
        <v>1183</v>
      </c>
      <c r="O13" s="35" t="s">
        <v>1185</v>
      </c>
      <c r="P13" s="35" t="s">
        <v>1184</v>
      </c>
      <c r="Q13" s="35" t="s">
        <v>1186</v>
      </c>
      <c r="S13" t="str">
        <f>WarningConfig!B62</f>
        <v>EnterEcoFailWrn</v>
      </c>
      <c r="T13" t="str">
        <f>WarningConfig!K62</f>
        <v>不能进入经济模式</v>
      </c>
      <c r="U13" t="str">
        <f>VLOOKUP(T13,UEInput!I:N,2,0)</f>
        <v>Cannot Enter ECO Mode</v>
      </c>
      <c r="V13" t="str">
        <f>VLOOKUP(T13,UEInput!I:N,3,0)</f>
        <v>Невозможность включения режима экономии</v>
      </c>
      <c r="W13" t="str">
        <f>VLOOKUP(T13,UEInput!I:N,5,0)</f>
        <v>لا يمكن دخول وضع الاقتصاد</v>
      </c>
      <c r="X13" t="str">
        <f>VLOOKUP(T13,UEInput!I:N,4,0)</f>
        <v>ورود به مد اقتصادی امکان ناپذیر است</v>
      </c>
      <c r="Y13" t="str">
        <f>VLOOKUP(T13,UEInput!I:N,6,0)</f>
        <v>No puede entrar el modo económico</v>
      </c>
    </row>
    <row r="14" spans="1:25">
      <c r="A14" s="14"/>
      <c r="B14" s="34" t="str">
        <f>WarningConfig!O63</f>
        <v>Wrn_EnterSportFailWrn</v>
      </c>
      <c r="C14" s="34" t="s">
        <v>349</v>
      </c>
      <c r="D14" s="34" t="s">
        <v>579</v>
      </c>
      <c r="E14" s="34" t="s">
        <v>1187</v>
      </c>
      <c r="F14" s="34" t="s">
        <v>1188</v>
      </c>
      <c r="G14" s="34" t="s">
        <v>1189</v>
      </c>
      <c r="H14" s="34" t="s">
        <v>1190</v>
      </c>
      <c r="J14" s="14"/>
      <c r="K14" s="34" t="str">
        <f>WarningConfig!P63</f>
        <v>WrnList_EnterSportFailWrn</v>
      </c>
      <c r="L14" s="35" t="s">
        <v>349</v>
      </c>
      <c r="M14" s="35" t="s">
        <v>768</v>
      </c>
      <c r="N14" s="35" t="s">
        <v>1187</v>
      </c>
      <c r="O14" s="35" t="s">
        <v>1189</v>
      </c>
      <c r="P14" s="35" t="s">
        <v>1188</v>
      </c>
      <c r="Q14" s="35" t="s">
        <v>1190</v>
      </c>
      <c r="S14" t="str">
        <f>WarningConfig!B63</f>
        <v>EnterSportFailWrn</v>
      </c>
      <c r="T14" t="str">
        <f>WarningConfig!K63</f>
        <v>不能进入运动模式</v>
      </c>
      <c r="U14" t="str">
        <f>VLOOKUP(T14,UEInput!I:N,2,0)</f>
        <v>Cannot Enter Sport Mode</v>
      </c>
      <c r="V14" t="str">
        <f>VLOOKUP(T14,UEInput!I:N,3,0)</f>
        <v>Невозможность включения режима форсажа</v>
      </c>
      <c r="W14" t="str">
        <f>VLOOKUP(T14,UEInput!I:N,5,0)</f>
        <v>لا يمكن دخول وضع الرياضة</v>
      </c>
      <c r="X14" t="str">
        <f>VLOOKUP(T14,UEInput!I:N,4,0)</f>
        <v>ورود به مد ورزشی امکان ناپذیر است</v>
      </c>
      <c r="Y14" t="str">
        <f>VLOOKUP(T14,UEInput!I:N,6,0)</f>
        <v>No puede entrar el modo de movimiento</v>
      </c>
    </row>
    <row r="15" spans="1:25">
      <c r="A15" s="14"/>
      <c r="B15" s="34" t="str">
        <f>WarningConfig!O64</f>
        <v>Wrn_ChangeModeFailEMSWrn</v>
      </c>
      <c r="C15" s="34" t="s">
        <v>943</v>
      </c>
      <c r="D15" s="34" t="s">
        <v>1071</v>
      </c>
      <c r="E15" s="34" t="s">
        <v>473</v>
      </c>
      <c r="F15" s="34" t="s">
        <v>473</v>
      </c>
      <c r="G15" s="34" t="s">
        <v>473</v>
      </c>
      <c r="H15" s="34" t="s">
        <v>473</v>
      </c>
      <c r="J15" s="14"/>
      <c r="K15" s="34" t="str">
        <f>WarningConfig!P64</f>
        <v>WrnList_ChangeModeFailEMSWrn</v>
      </c>
      <c r="L15" s="35" t="s">
        <v>1040</v>
      </c>
      <c r="M15" s="35" t="s">
        <v>1014</v>
      </c>
      <c r="N15" s="35" t="s">
        <v>473</v>
      </c>
      <c r="O15" s="35" t="s">
        <v>473</v>
      </c>
      <c r="P15" s="35" t="s">
        <v>473</v>
      </c>
      <c r="Q15" s="35" t="s">
        <v>473</v>
      </c>
      <c r="S15" t="str">
        <f>WarningConfig!B64</f>
        <v>ChangeModeFailEMSWrn</v>
      </c>
      <c r="T15" t="str">
        <f>WarningConfig!K64</f>
        <v>EMS无法进行模式切换</v>
      </c>
      <c r="U15" t="str">
        <f>VLOOKUP(T15,UEInput!I:N,2,0)</f>
        <v>EMS cannot change driver mode</v>
      </c>
      <c r="V15" t="str">
        <f>VLOOKUP(T15,UEInput!I:N,3,0)</f>
        <v>NA</v>
      </c>
      <c r="W15" t="str">
        <f>VLOOKUP(T15,UEInput!I:N,5,0)</f>
        <v>NA</v>
      </c>
      <c r="X15" t="str">
        <f>VLOOKUP(T15,UEInput!I:N,4,0)</f>
        <v>NA</v>
      </c>
      <c r="Y15" t="str">
        <f>VLOOKUP(T15,UEInput!I:N,6,0)</f>
        <v>NA</v>
      </c>
    </row>
    <row r="16" spans="1:25">
      <c r="A16" s="14"/>
      <c r="B16" s="34" t="str">
        <f>WarningConfig!O65</f>
        <v>Wrn_ChangeModeFailTCUWrn</v>
      </c>
      <c r="C16" s="34" t="s">
        <v>946</v>
      </c>
      <c r="D16" s="34" t="s">
        <v>1072</v>
      </c>
      <c r="E16" s="34" t="s">
        <v>473</v>
      </c>
      <c r="F16" s="34" t="s">
        <v>473</v>
      </c>
      <c r="G16" s="34" t="s">
        <v>473</v>
      </c>
      <c r="H16" s="34" t="s">
        <v>473</v>
      </c>
      <c r="J16" s="14"/>
      <c r="K16" s="34" t="str">
        <f>WarningConfig!P65</f>
        <v>WrnList_ChangeModeFailTCUWrn</v>
      </c>
      <c r="L16" s="35" t="s">
        <v>1041</v>
      </c>
      <c r="M16" s="35" t="s">
        <v>1015</v>
      </c>
      <c r="N16" s="35" t="s">
        <v>473</v>
      </c>
      <c r="O16" s="35" t="s">
        <v>473</v>
      </c>
      <c r="P16" s="35" t="s">
        <v>473</v>
      </c>
      <c r="Q16" s="35" t="s">
        <v>473</v>
      </c>
      <c r="S16" t="str">
        <f>WarningConfig!B65</f>
        <v>ChangeModeFailTCUWrn</v>
      </c>
      <c r="T16" t="str">
        <f>WarningConfig!K65</f>
        <v>TCU无法进行模式切换</v>
      </c>
      <c r="U16" t="str">
        <f>VLOOKUP(T16,UEInput!I:N,2,0)</f>
        <v>TCU cannot change driver mode</v>
      </c>
      <c r="V16" t="str">
        <f>VLOOKUP(T16,UEInput!I:N,3,0)</f>
        <v>NA</v>
      </c>
      <c r="W16" t="str">
        <f>VLOOKUP(T16,UEInput!I:N,5,0)</f>
        <v>NA</v>
      </c>
      <c r="X16" t="str">
        <f>VLOOKUP(T16,UEInput!I:N,4,0)</f>
        <v>NA</v>
      </c>
      <c r="Y16" t="str">
        <f>VLOOKUP(T16,UEInput!I:N,6,0)</f>
        <v>NA</v>
      </c>
    </row>
    <row r="17" spans="1:25">
      <c r="A17" s="14"/>
      <c r="B17" s="34" t="str">
        <f>WarningConfig!O66</f>
        <v>Wrn_ChangeModeFailESCWrn</v>
      </c>
      <c r="C17" s="34" t="s">
        <v>949</v>
      </c>
      <c r="D17" s="34" t="s">
        <v>1073</v>
      </c>
      <c r="E17" s="34" t="s">
        <v>473</v>
      </c>
      <c r="F17" s="34" t="s">
        <v>473</v>
      </c>
      <c r="G17" s="34" t="s">
        <v>473</v>
      </c>
      <c r="H17" s="34" t="s">
        <v>473</v>
      </c>
      <c r="J17" s="14"/>
      <c r="K17" s="34" t="str">
        <f>WarningConfig!P66</f>
        <v>WrnList_ChangeModeFailESCWrn</v>
      </c>
      <c r="L17" s="35" t="s">
        <v>1042</v>
      </c>
      <c r="M17" s="35" t="s">
        <v>1016</v>
      </c>
      <c r="N17" s="35" t="s">
        <v>473</v>
      </c>
      <c r="O17" s="35" t="s">
        <v>473</v>
      </c>
      <c r="P17" s="35" t="s">
        <v>473</v>
      </c>
      <c r="Q17" s="35" t="s">
        <v>473</v>
      </c>
      <c r="S17" t="str">
        <f>WarningConfig!B66</f>
        <v>ChangeModeFailESCWrn</v>
      </c>
      <c r="T17" t="str">
        <f>WarningConfig!K66</f>
        <v>ESC无法进行模式切换</v>
      </c>
      <c r="U17" t="str">
        <f>VLOOKUP(T17,UEInput!I:N,2,0)</f>
        <v>ESC cannot change driver mode</v>
      </c>
      <c r="V17" t="str">
        <f>VLOOKUP(T17,UEInput!I:N,3,0)</f>
        <v>NA</v>
      </c>
      <c r="W17" t="str">
        <f>VLOOKUP(T17,UEInput!I:N,5,0)</f>
        <v>NA</v>
      </c>
      <c r="X17" t="str">
        <f>VLOOKUP(T17,UEInput!I:N,4,0)</f>
        <v>NA</v>
      </c>
      <c r="Y17" t="str">
        <f>VLOOKUP(T17,UEInput!I:N,6,0)</f>
        <v>NA</v>
      </c>
    </row>
    <row r="18" spans="1:25">
      <c r="A18" s="14"/>
      <c r="B18" s="34" t="str">
        <f>WarningConfig!O67</f>
        <v>Wrn_ChangeModeFailEPSWrn</v>
      </c>
      <c r="C18" s="34" t="s">
        <v>952</v>
      </c>
      <c r="D18" s="34" t="s">
        <v>1074</v>
      </c>
      <c r="E18" s="34" t="s">
        <v>473</v>
      </c>
      <c r="F18" s="34" t="s">
        <v>473</v>
      </c>
      <c r="G18" s="34" t="s">
        <v>473</v>
      </c>
      <c r="H18" s="34" t="s">
        <v>473</v>
      </c>
      <c r="J18" s="14"/>
      <c r="K18" s="34" t="str">
        <f>WarningConfig!P67</f>
        <v>WrnList_ChangeModeFailEPSWrn</v>
      </c>
      <c r="L18" s="35" t="s">
        <v>1043</v>
      </c>
      <c r="M18" s="35" t="s">
        <v>1017</v>
      </c>
      <c r="N18" s="35" t="s">
        <v>473</v>
      </c>
      <c r="O18" s="35" t="s">
        <v>473</v>
      </c>
      <c r="P18" s="35" t="s">
        <v>473</v>
      </c>
      <c r="Q18" s="35" t="s">
        <v>473</v>
      </c>
      <c r="S18" t="str">
        <f>WarningConfig!B67</f>
        <v>ChangeModeFailEPSWrn</v>
      </c>
      <c r="T18" t="str">
        <f>WarningConfig!K67</f>
        <v>EPS无法进行模式切换</v>
      </c>
      <c r="U18" t="str">
        <f>VLOOKUP(T18,UEInput!I:N,2,0)</f>
        <v>EPS cannot change driver mode</v>
      </c>
      <c r="V18" t="str">
        <f>VLOOKUP(T18,UEInput!I:N,3,0)</f>
        <v>NA</v>
      </c>
      <c r="W18" t="str">
        <f>VLOOKUP(T18,UEInput!I:N,5,0)</f>
        <v>NA</v>
      </c>
      <c r="X18" t="str">
        <f>VLOOKUP(T18,UEInput!I:N,4,0)</f>
        <v>NA</v>
      </c>
      <c r="Y18" t="str">
        <f>VLOOKUP(T18,UEInput!I:N,6,0)</f>
        <v>NA</v>
      </c>
    </row>
    <row r="19" spans="1:25">
      <c r="A19" s="14"/>
      <c r="B19" s="34" t="str">
        <f>WarningConfig!O68</f>
        <v>Wrn_ShiftDWrn</v>
      </c>
      <c r="C19" s="34" t="s">
        <v>1083</v>
      </c>
      <c r="D19" s="34" t="s">
        <v>578</v>
      </c>
      <c r="E19" s="34" t="s">
        <v>1191</v>
      </c>
      <c r="F19" s="34" t="s">
        <v>1192</v>
      </c>
      <c r="G19" s="34" t="s">
        <v>1193</v>
      </c>
      <c r="H19" s="34" t="s">
        <v>1194</v>
      </c>
      <c r="J19" s="14"/>
      <c r="K19" s="34" t="str">
        <f>WarningConfig!P68</f>
        <v>WrnList_ShiftDWrn</v>
      </c>
      <c r="L19" s="35" t="s">
        <v>1083</v>
      </c>
      <c r="M19" s="35" t="s">
        <v>578</v>
      </c>
      <c r="N19" s="35" t="s">
        <v>1191</v>
      </c>
      <c r="O19" s="35" t="s">
        <v>1193</v>
      </c>
      <c r="P19" s="35" t="s">
        <v>1192</v>
      </c>
      <c r="Q19" s="35" t="s">
        <v>1194</v>
      </c>
      <c r="S19" t="str">
        <f>WarningConfig!B68</f>
        <v>ShiftDWrn</v>
      </c>
      <c r="T19" t="str">
        <f>WarningConfig!K68</f>
        <v>请挂D挡</v>
      </c>
      <c r="U19" t="str">
        <f>VLOOKUP(T19,UEInput!I:N,2,0)</f>
        <v>Please shfit to D</v>
      </c>
      <c r="V19" t="str">
        <f>VLOOKUP(T19,UEInput!I:N,3,0)</f>
        <v>Переключайте на передачу D</v>
      </c>
      <c r="W19" t="str">
        <f>VLOOKUP(T19,UEInput!I:N,5,0)</f>
        <v>يرجى التحويل الي وضع D</v>
      </c>
      <c r="X19" t="str">
        <f>VLOOKUP(T19,UEInput!I:N,4,0)</f>
        <v>دنده را در حالت دنده D قرار دهید</v>
      </c>
      <c r="Y19" t="str">
        <f>VLOOKUP(T19,UEInput!I:N,6,0)</f>
        <v>Por favor, cambie a la marcha D</v>
      </c>
    </row>
    <row r="20" spans="1:25">
      <c r="A20" s="14"/>
      <c r="B20" s="34" t="str">
        <f>WarningConfig!O69</f>
        <v>Wrn_TurnKnobRightWrn</v>
      </c>
      <c r="C20" s="34" t="s">
        <v>475</v>
      </c>
      <c r="D20" s="34" t="s">
        <v>577</v>
      </c>
      <c r="E20" s="34" t="s">
        <v>1203</v>
      </c>
      <c r="F20" s="34" t="s">
        <v>1204</v>
      </c>
      <c r="G20" s="34" t="s">
        <v>1205</v>
      </c>
      <c r="H20" s="34" t="s">
        <v>1206</v>
      </c>
      <c r="J20" s="14"/>
      <c r="K20" s="34" t="str">
        <f>WarningConfig!P69</f>
        <v>WrnList_TurnKnobRightWrn</v>
      </c>
      <c r="L20" s="35" t="s">
        <v>475</v>
      </c>
      <c r="M20" s="35" t="s">
        <v>769</v>
      </c>
      <c r="N20" s="35" t="s">
        <v>1203</v>
      </c>
      <c r="O20" s="35" t="s">
        <v>1205</v>
      </c>
      <c r="P20" s="35" t="s">
        <v>1204</v>
      </c>
      <c r="Q20" s="35" t="s">
        <v>1206</v>
      </c>
      <c r="S20" t="str">
        <f>WarningConfig!B69</f>
        <v>TurnKnobRightWrn</v>
      </c>
      <c r="T20" t="str">
        <f>WarningConfig!K69</f>
        <v>请把拨杆拨回至右边</v>
      </c>
      <c r="U20" t="str">
        <f>VLOOKUP(T20,UEInput!I:N,2,0)</f>
        <v>Turn Knob to Right</v>
      </c>
      <c r="V20" t="str">
        <f>VLOOKUP(T20,UEInput!I:N,3,0)</f>
        <v>Переключайте обратно рычаг направо</v>
      </c>
      <c r="W20" t="str">
        <f>VLOOKUP(T20,UEInput!I:N,5,0)</f>
        <v>يرجى تحويل الذراع الي اليمين</v>
      </c>
      <c r="X20" t="str">
        <f>VLOOKUP(T20,UEInput!I:N,4,0)</f>
        <v>اهرم را به سمت راست برگردانید</v>
      </c>
      <c r="Y20" t="str">
        <f>VLOOKUP(T20,UEInput!I:N,6,0)</f>
        <v>Por favor, gire de nuevo la palanca de accionamiento hacia la derecha</v>
      </c>
    </row>
    <row r="21" spans="1:25">
      <c r="A21" s="14"/>
      <c r="B21" s="34" t="str">
        <f>WarningConfig!O70</f>
        <v>Wrn_PressBrakeWrn</v>
      </c>
      <c r="C21" s="34" t="s">
        <v>476</v>
      </c>
      <c r="D21" s="34" t="s">
        <v>576</v>
      </c>
      <c r="E21" s="34" t="s">
        <v>1207</v>
      </c>
      <c r="F21" s="34" t="s">
        <v>1208</v>
      </c>
      <c r="G21" s="34" t="s">
        <v>1209</v>
      </c>
      <c r="H21" s="34" t="s">
        <v>1210</v>
      </c>
      <c r="J21" s="14"/>
      <c r="K21" s="34" t="str">
        <f>WarningConfig!P70</f>
        <v>WrnList_PressBrakeWrn</v>
      </c>
      <c r="L21" s="35" t="s">
        <v>476</v>
      </c>
      <c r="M21" s="35" t="s">
        <v>576</v>
      </c>
      <c r="N21" s="35" t="s">
        <v>1207</v>
      </c>
      <c r="O21" s="35" t="s">
        <v>1209</v>
      </c>
      <c r="P21" s="35" t="s">
        <v>1208</v>
      </c>
      <c r="Q21" s="35" t="s">
        <v>1210</v>
      </c>
      <c r="S21" t="str">
        <f>WarningConfig!B70</f>
        <v>PressBrakeWrn</v>
      </c>
      <c r="T21" t="str">
        <f>WarningConfig!K70</f>
        <v>请踩刹车</v>
      </c>
      <c r="U21" t="str">
        <f>VLOOKUP(T21,UEInput!I:N,2,0)</f>
        <v>Press Brake</v>
      </c>
      <c r="V21" t="str">
        <f>VLOOKUP(T21,UEInput!I:N,3,0)</f>
        <v>Нажмите на педаль тормоза</v>
      </c>
      <c r="W21" t="str">
        <f>VLOOKUP(T21,UEInput!I:N,5,0)</f>
        <v xml:space="preserve">يرجي الفرامل </v>
      </c>
      <c r="X21" t="str">
        <f>VLOOKUP(T21,UEInput!I:N,4,0)</f>
        <v>پدال ترمز را فشار دهید</v>
      </c>
      <c r="Y21" t="str">
        <f>VLOOKUP(T21,UEInput!I:N,6,0)</f>
        <v>Por favor pise el pedal del freno</v>
      </c>
    </row>
    <row r="22" spans="1:25">
      <c r="A22" s="14"/>
      <c r="B22" s="34" t="str">
        <f>WarningConfig!O71</f>
        <v>Wrn_PressUnlockWrn</v>
      </c>
      <c r="C22" s="34" t="s">
        <v>631</v>
      </c>
      <c r="D22" s="34" t="s">
        <v>575</v>
      </c>
      <c r="E22" s="34" t="s">
        <v>1211</v>
      </c>
      <c r="F22" s="34" t="s">
        <v>1212</v>
      </c>
      <c r="G22" s="34" t="s">
        <v>1213</v>
      </c>
      <c r="H22" s="34" t="s">
        <v>1214</v>
      </c>
      <c r="J22" s="14"/>
      <c r="K22" s="34" t="str">
        <f>WarningConfig!P71</f>
        <v>WrnList_PressUnlockWrn</v>
      </c>
      <c r="L22" s="35" t="s">
        <v>631</v>
      </c>
      <c r="M22" s="35" t="s">
        <v>575</v>
      </c>
      <c r="N22" s="35" t="s">
        <v>1211</v>
      </c>
      <c r="O22" s="35" t="s">
        <v>1213</v>
      </c>
      <c r="P22" s="35" t="s">
        <v>1212</v>
      </c>
      <c r="Q22" s="35" t="s">
        <v>1214</v>
      </c>
      <c r="S22" t="str">
        <f>WarningConfig!B71</f>
        <v>PressUnlockWrn</v>
      </c>
      <c r="T22" t="str">
        <f>WarningConfig!K71</f>
        <v>请按解锁键</v>
      </c>
      <c r="U22" t="str">
        <f>VLOOKUP(T22,UEInput!I:N,2,0)</f>
        <v>Press Unlock</v>
      </c>
      <c r="V22" t="str">
        <f>VLOOKUP(T22,UEInput!I:N,3,0)</f>
        <v>Нажмите клавиши разблокировки</v>
      </c>
      <c r="W22" t="str">
        <f>VLOOKUP(T22,UEInput!I:N,5,0)</f>
        <v>اضغط على زر الفتح</v>
      </c>
      <c r="X22" t="str">
        <f>VLOOKUP(T22,UEInput!I:N,4,0)</f>
        <v>کلید گشایش قفل را فشار دهید</v>
      </c>
      <c r="Y22" t="str">
        <f>VLOOKUP(T22,UEInput!I:N,6,0)</f>
        <v>Por favor presione el botón de desbloqueo</v>
      </c>
    </row>
    <row r="23" spans="1:25">
      <c r="A23" s="14"/>
      <c r="B23" s="34" t="str">
        <f>WarningConfig!O72</f>
        <v>Wrn_PressBrakeUnlockWrn</v>
      </c>
      <c r="C23" s="34" t="s">
        <v>477</v>
      </c>
      <c r="D23" s="34" t="s">
        <v>574</v>
      </c>
      <c r="E23" s="34" t="s">
        <v>1215</v>
      </c>
      <c r="F23" s="34" t="s">
        <v>1216</v>
      </c>
      <c r="G23" s="34" t="s">
        <v>1217</v>
      </c>
      <c r="H23" s="34" t="s">
        <v>1218</v>
      </c>
      <c r="J23" s="14"/>
      <c r="K23" s="34" t="str">
        <f>WarningConfig!P72</f>
        <v>WrnList_PressBrakeUnlockWrn</v>
      </c>
      <c r="L23" s="35" t="s">
        <v>477</v>
      </c>
      <c r="M23" s="35" t="s">
        <v>750</v>
      </c>
      <c r="N23" s="35" t="s">
        <v>1215</v>
      </c>
      <c r="O23" s="35" t="s">
        <v>1217</v>
      </c>
      <c r="P23" s="35" t="s">
        <v>1216</v>
      </c>
      <c r="Q23" s="35" t="s">
        <v>1218</v>
      </c>
      <c r="S23" t="str">
        <f>WarningConfig!B72</f>
        <v>PressBrakeUnlockWrn</v>
      </c>
      <c r="T23" t="str">
        <f>WarningConfig!K72</f>
        <v>请踩刹车并按解锁键</v>
      </c>
      <c r="U23" t="str">
        <f>VLOOKUP(T23,UEInput!I:N,2,0)</f>
        <v>Press Brake and Unlock</v>
      </c>
      <c r="V23" t="str">
        <f>VLOOKUP(T23,UEInput!I:N,3,0)</f>
        <v>Нажмите педаль тормоза и клавиши разблокировки</v>
      </c>
      <c r="W23" t="str">
        <f>VLOOKUP(T23,UEInput!I:N,5,0)</f>
        <v xml:space="preserve">يرجى الدوس علي الفرامل الضغط على زر الفتح </v>
      </c>
      <c r="X23" t="str">
        <f>VLOOKUP(T23,UEInput!I:N,4,0)</f>
        <v>پدال ترمز و کلید گشایش قفل را فشار دهید</v>
      </c>
      <c r="Y23" t="str">
        <f>VLOOKUP(T23,UEInput!I:N,6,0)</f>
        <v>Por favor pise el pedal del freno y presione el botón de desbloqueo</v>
      </c>
    </row>
    <row r="24" spans="1:25">
      <c r="A24" s="14"/>
      <c r="B24" s="34" t="str">
        <f>WarningConfig!O73</f>
        <v>Wrn_StopShiftPWrn</v>
      </c>
      <c r="C24" s="34" t="s">
        <v>1084</v>
      </c>
      <c r="D24" s="34" t="s">
        <v>711</v>
      </c>
      <c r="E24" s="34" t="s">
        <v>1219</v>
      </c>
      <c r="F24" s="34" t="s">
        <v>1220</v>
      </c>
      <c r="G24" s="34" t="s">
        <v>1221</v>
      </c>
      <c r="H24" s="34" t="s">
        <v>1222</v>
      </c>
      <c r="J24" s="14"/>
      <c r="K24" s="34" t="str">
        <f>WarningConfig!P73</f>
        <v>WrnList_StopShiftPWrn</v>
      </c>
      <c r="L24" s="35" t="s">
        <v>1084</v>
      </c>
      <c r="M24" s="35" t="s">
        <v>751</v>
      </c>
      <c r="N24" s="35" t="s">
        <v>1219</v>
      </c>
      <c r="O24" s="35" t="s">
        <v>1221</v>
      </c>
      <c r="P24" s="35" t="s">
        <v>1220</v>
      </c>
      <c r="Q24" s="35" t="s">
        <v>1222</v>
      </c>
      <c r="S24" t="str">
        <f>WarningConfig!B73</f>
        <v>StopShiftPWrn</v>
      </c>
      <c r="T24" t="str">
        <f>WarningConfig!K73</f>
        <v>请静止时再入P挡</v>
      </c>
      <c r="U24" t="str">
        <f>VLOOKUP(T24,UEInput!I:N,2,0)</f>
        <v xml:space="preserve">Press P Button on Still </v>
      </c>
      <c r="V24" t="str">
        <f>VLOOKUP(T24,UEInput!I:N,3,0)</f>
        <v>Переключайте в положение P при остановке (покое) машины</v>
      </c>
      <c r="W24" t="str">
        <f>VLOOKUP(T24,UEInput!I:N,5,0)</f>
        <v>يرجى التحويل الي وضع P عند الوقوف</v>
      </c>
      <c r="X24" t="str">
        <f>VLOOKUP(T24,UEInput!I:N,4,0)</f>
        <v>پس از توقف خودرو دنده را در دنده P قرار دهید</v>
      </c>
      <c r="Y24" t="str">
        <f>VLOOKUP(T24,UEInput!I:N,6,0)</f>
        <v>Por favor marque la marcha P en reposo</v>
      </c>
    </row>
    <row r="25" spans="1:25">
      <c r="A25" s="14"/>
      <c r="B25" s="34" t="str">
        <f>WarningConfig!O74</f>
        <v>Wrn_SelfLearningBrakeWrn</v>
      </c>
      <c r="C25" s="34" t="s">
        <v>1001</v>
      </c>
      <c r="D25" s="34" t="s">
        <v>1075</v>
      </c>
      <c r="E25" s="34" t="s">
        <v>473</v>
      </c>
      <c r="F25" s="34" t="s">
        <v>473</v>
      </c>
      <c r="G25" s="34" t="s">
        <v>473</v>
      </c>
      <c r="H25" s="34" t="s">
        <v>473</v>
      </c>
      <c r="J25" s="14"/>
      <c r="K25" s="34" t="str">
        <f>WarningConfig!P74</f>
        <v>WrnList_SelfLearningBrakeWrn</v>
      </c>
      <c r="L25" s="35" t="s">
        <v>1044</v>
      </c>
      <c r="M25" s="35" t="s">
        <v>1018</v>
      </c>
      <c r="N25" s="35" t="s">
        <v>473</v>
      </c>
      <c r="O25" s="35" t="s">
        <v>473</v>
      </c>
      <c r="P25" s="35" t="s">
        <v>473</v>
      </c>
      <c r="Q25" s="35" t="s">
        <v>473</v>
      </c>
      <c r="S25" t="str">
        <f>WarningConfig!B74</f>
        <v>SelfLearningBrakeWrn</v>
      </c>
      <c r="T25" t="str">
        <f>WarningConfig!K74</f>
        <v>变速箱自学习，请踩刹车</v>
      </c>
      <c r="U25" t="str">
        <f>VLOOKUP(T25,UEInput!I:N,2,0)</f>
        <v>Reference Search and Press brake</v>
      </c>
      <c r="V25" t="str">
        <f>VLOOKUP(T25,UEInput!I:N,3,0)</f>
        <v>NA</v>
      </c>
      <c r="W25" t="str">
        <f>VLOOKUP(T25,UEInput!I:N,5,0)</f>
        <v>NA</v>
      </c>
      <c r="X25" t="str">
        <f>VLOOKUP(T25,UEInput!I:N,4,0)</f>
        <v>NA</v>
      </c>
      <c r="Y25" t="str">
        <f>VLOOKUP(T25,UEInput!I:N,6,0)</f>
        <v>NA</v>
      </c>
    </row>
    <row r="26" spans="1:25">
      <c r="A26" s="14"/>
      <c r="B26" s="34" t="str">
        <f>WarningConfig!O75</f>
        <v>Wrn_ShiftPToPrevent</v>
      </c>
      <c r="C26" s="34" t="s">
        <v>1085</v>
      </c>
      <c r="D26" s="34" t="s">
        <v>1004</v>
      </c>
      <c r="E26" s="34" t="s">
        <v>473</v>
      </c>
      <c r="F26" s="34" t="s">
        <v>473</v>
      </c>
      <c r="G26" s="34" t="s">
        <v>473</v>
      </c>
      <c r="H26" s="34" t="s">
        <v>473</v>
      </c>
      <c r="J26" s="14"/>
      <c r="K26" s="34" t="str">
        <f>WarningConfig!P75</f>
        <v>WrnList_ShiftPToPrevent</v>
      </c>
      <c r="L26" s="35" t="s">
        <v>1085</v>
      </c>
      <c r="M26" s="35" t="s">
        <v>1019</v>
      </c>
      <c r="N26" s="35" t="s">
        <v>473</v>
      </c>
      <c r="O26" s="35" t="s">
        <v>473</v>
      </c>
      <c r="P26" s="35" t="s">
        <v>473</v>
      </c>
      <c r="Q26" s="35" t="s">
        <v>473</v>
      </c>
      <c r="S26" t="str">
        <f>WarningConfig!B75</f>
        <v>ShiftPToPrevent</v>
      </c>
      <c r="T26" t="str">
        <f>WarningConfig!K75</f>
        <v>请挂入P挡防止溜车</v>
      </c>
      <c r="U26" t="str">
        <f>VLOOKUP(T26,UEInput!I:N,2,0)</f>
        <v>Press P button to prevent slide</v>
      </c>
      <c r="V26" t="str">
        <f>VLOOKUP(T26,UEInput!I:N,3,0)</f>
        <v>NA</v>
      </c>
      <c r="W26" t="str">
        <f>VLOOKUP(T26,UEInput!I:N,5,0)</f>
        <v>NA</v>
      </c>
      <c r="X26" t="str">
        <f>VLOOKUP(T26,UEInput!I:N,4,0)</f>
        <v>NA</v>
      </c>
      <c r="Y26" t="str">
        <f>VLOOKUP(T26,UEInput!I:N,6,0)</f>
        <v>NA</v>
      </c>
    </row>
    <row r="27" spans="1:25">
      <c r="A27" s="14"/>
      <c r="B27" s="34" t="str">
        <f>WarningConfig!O76</f>
        <v>Wrn_Warning15</v>
      </c>
      <c r="C27" s="34" t="s">
        <v>363</v>
      </c>
      <c r="D27" s="34" t="s">
        <v>588</v>
      </c>
      <c r="E27" s="34" t="s">
        <v>1151</v>
      </c>
      <c r="F27" s="34" t="s">
        <v>1152</v>
      </c>
      <c r="G27" s="34" t="s">
        <v>1153</v>
      </c>
      <c r="H27" s="34" t="s">
        <v>1154</v>
      </c>
      <c r="J27" s="14"/>
      <c r="K27" s="34" t="str">
        <f>WarningConfig!P76</f>
        <v>WrnList_Warning15</v>
      </c>
      <c r="L27" s="35" t="s">
        <v>363</v>
      </c>
      <c r="M27" s="35" t="s">
        <v>588</v>
      </c>
      <c r="N27" s="35" t="s">
        <v>1151</v>
      </c>
      <c r="O27" s="35" t="s">
        <v>1153</v>
      </c>
      <c r="P27" s="35" t="s">
        <v>1152</v>
      </c>
      <c r="Q27" s="35" t="s">
        <v>1154</v>
      </c>
      <c r="S27" t="str">
        <f>WarningConfig!B76</f>
        <v>Warning15</v>
      </c>
      <c r="T27" t="str">
        <f>WarningConfig!K76</f>
        <v>定速巡航系统开启</v>
      </c>
      <c r="U27" t="str">
        <f>VLOOKUP(T27,UEInput!I:N,2,0)</f>
        <v>Cruise Switch On</v>
      </c>
      <c r="V27" t="str">
        <f>VLOOKUP(T27,UEInput!I:N,3,0)</f>
        <v>Включена система круиза-контроля</v>
      </c>
      <c r="W27" t="str">
        <f>VLOOKUP(T27,UEInput!I:N,5,0)</f>
        <v>تشغيل نظام مثبت السرعة</v>
      </c>
      <c r="X27" t="str">
        <f>VLOOKUP(T27,UEInput!I:N,4,0)</f>
        <v>فعال کردن کنترل کروز</v>
      </c>
      <c r="Y27" t="str">
        <f>VLOOKUP(T27,UEInput!I:N,6,0)</f>
        <v>Abrir el sistema de control de crucero</v>
      </c>
    </row>
    <row r="28" spans="1:25">
      <c r="A28" s="14"/>
      <c r="B28" s="34" t="str">
        <f>WarningConfig!O77</f>
        <v>Wrn_Warning16</v>
      </c>
      <c r="C28" s="34" t="s">
        <v>364</v>
      </c>
      <c r="D28" s="34" t="s">
        <v>587</v>
      </c>
      <c r="E28" s="34" t="s">
        <v>1155</v>
      </c>
      <c r="F28" s="34" t="s">
        <v>1156</v>
      </c>
      <c r="G28" s="34" t="s">
        <v>1157</v>
      </c>
      <c r="H28" s="34" t="s">
        <v>1158</v>
      </c>
      <c r="J28" s="14"/>
      <c r="K28" s="34" t="str">
        <f>WarningConfig!P77</f>
        <v>WrnList_Warning16</v>
      </c>
      <c r="L28" s="35" t="s">
        <v>364</v>
      </c>
      <c r="M28" s="35" t="s">
        <v>587</v>
      </c>
      <c r="N28" s="35" t="s">
        <v>1155</v>
      </c>
      <c r="O28" s="35" t="s">
        <v>1157</v>
      </c>
      <c r="P28" s="35" t="s">
        <v>1156</v>
      </c>
      <c r="Q28" s="35" t="s">
        <v>1158</v>
      </c>
      <c r="S28" t="str">
        <f>WarningConfig!B77</f>
        <v>Warning16</v>
      </c>
      <c r="T28" t="str">
        <f>WarningConfig!K77</f>
        <v>定速巡航系统退出</v>
      </c>
      <c r="U28" t="str">
        <f>VLOOKUP(T28,UEInput!I:N,2,0)</f>
        <v>Cruise Cancelled</v>
      </c>
      <c r="V28" t="str">
        <f>VLOOKUP(T28,UEInput!I:N,3,0)</f>
        <v>Выключена система круиза-контроля</v>
      </c>
      <c r="W28" t="str">
        <f>VLOOKUP(T28,UEInput!I:N,5,0)</f>
        <v>الخروج من نظام مثبت السرعة</v>
      </c>
      <c r="X28" t="str">
        <f>VLOOKUP(T28,UEInput!I:N,4,0)</f>
        <v>خروج از سیستم کنترل کروز</v>
      </c>
      <c r="Y28" t="str">
        <f>VLOOKUP(T28,UEInput!I:N,6,0)</f>
        <v>Salir del sistema de control de crucero</v>
      </c>
    </row>
    <row r="29" spans="1:25">
      <c r="A29" s="14"/>
      <c r="B29" s="34" t="str">
        <f>WarningConfig!O78</f>
        <v>Wrn_Warning17</v>
      </c>
      <c r="C29" s="34" t="s">
        <v>365</v>
      </c>
      <c r="D29" s="34" t="s">
        <v>586</v>
      </c>
      <c r="E29" s="34" t="s">
        <v>1159</v>
      </c>
      <c r="F29" s="34" t="s">
        <v>1160</v>
      </c>
      <c r="G29" s="34" t="s">
        <v>1161</v>
      </c>
      <c r="H29" s="34" t="s">
        <v>1162</v>
      </c>
      <c r="J29" s="14"/>
      <c r="K29" s="34" t="str">
        <f>WarningConfig!P78</f>
        <v>WrnList_Warning17</v>
      </c>
      <c r="L29" s="35" t="s">
        <v>365</v>
      </c>
      <c r="M29" s="35" t="s">
        <v>586</v>
      </c>
      <c r="N29" s="35" t="s">
        <v>1159</v>
      </c>
      <c r="O29" s="35" t="s">
        <v>1161</v>
      </c>
      <c r="P29" s="35" t="s">
        <v>1160</v>
      </c>
      <c r="Q29" s="35" t="s">
        <v>1162</v>
      </c>
      <c r="S29" t="str">
        <f>WarningConfig!B78</f>
        <v>Warning17</v>
      </c>
      <c r="T29" t="str">
        <f>WarningConfig!K78</f>
        <v>定速巡航系统关闭</v>
      </c>
      <c r="U29" t="str">
        <f>VLOOKUP(T29,UEInput!I:N,2,0)</f>
        <v>Cruise Switch Off</v>
      </c>
      <c r="V29" t="str">
        <f>VLOOKUP(T29,UEInput!I:N,3,0)</f>
        <v>Отключена система круиза-контроля</v>
      </c>
      <c r="W29" t="str">
        <f>VLOOKUP(T29,UEInput!I:N,5,0)</f>
        <v>ايقاف تشغيل نظام مثبت السرعة</v>
      </c>
      <c r="X29" t="str">
        <f>VLOOKUP(T29,UEInput!I:N,4,0)</f>
        <v>بستن سیستم کنترل کروز</v>
      </c>
      <c r="Y29" t="str">
        <f>VLOOKUP(T29,UEInput!I:N,6,0)</f>
        <v>Cerrar el sistema de control de crucero</v>
      </c>
    </row>
    <row r="30" spans="1:25">
      <c r="A30" s="14"/>
      <c r="B30" s="34" t="str">
        <f>WarningConfig!O79</f>
        <v>Wrn_Warning18</v>
      </c>
      <c r="C30" s="34" t="s">
        <v>366</v>
      </c>
      <c r="D30" s="34" t="s">
        <v>712</v>
      </c>
      <c r="E30" s="34" t="s">
        <v>1119</v>
      </c>
      <c r="F30" s="34" t="s">
        <v>1120</v>
      </c>
      <c r="G30" s="34" t="s">
        <v>1121</v>
      </c>
      <c r="H30" s="34" t="s">
        <v>1122</v>
      </c>
      <c r="I30" s="1"/>
      <c r="J30" s="14"/>
      <c r="K30" s="34" t="str">
        <f>WarningConfig!P79</f>
        <v>WrnList_Warning18</v>
      </c>
      <c r="L30" s="35" t="s">
        <v>1045</v>
      </c>
      <c r="M30" s="35" t="s">
        <v>727</v>
      </c>
      <c r="N30" s="35" t="s">
        <v>1119</v>
      </c>
      <c r="O30" s="35" t="s">
        <v>1121</v>
      </c>
      <c r="P30" s="35" t="s">
        <v>1120</v>
      </c>
      <c r="Q30" s="35" t="s">
        <v>1122</v>
      </c>
      <c r="S30" t="str">
        <f>WarningConfig!B79</f>
        <v>Warning18</v>
      </c>
      <c r="T30" t="str">
        <f>WarningConfig!K79</f>
        <v>存在报警菜单不能激活</v>
      </c>
      <c r="U30" t="str">
        <f>VLOOKUP(T30,UEInput!I:N,2,0)</f>
        <v>Can Not Activate Menu 
When Warning Exist</v>
      </c>
      <c r="V30" t="str">
        <f>VLOOKUP(T30,UEInput!I:N,3,0)</f>
        <v>Наличие проблемы активации меню сигнализации</v>
      </c>
      <c r="W30" t="str">
        <f>VLOOKUP(T30,UEInput!I:N,5,0)</f>
        <v>يوجد قائمة الإنذار التي لا يمكن تفعيلها</v>
      </c>
      <c r="X30" t="str">
        <f>VLOOKUP(T30,UEInput!I:N,4,0)</f>
        <v>هشدار موجود است. منو فعال نمی شود.</v>
      </c>
      <c r="Y30" t="str">
        <f>VLOOKUP(T30,UEInput!I:N,6,0)</f>
        <v>El menú no puede ser activado por la presencia de alarma</v>
      </c>
    </row>
    <row r="31" spans="1:25">
      <c r="A31" s="14"/>
      <c r="B31" s="34" t="str">
        <f>WarningConfig!O80</f>
        <v>Wrn_Warning19</v>
      </c>
      <c r="C31" s="34" t="s">
        <v>367</v>
      </c>
      <c r="D31" s="34" t="s">
        <v>713</v>
      </c>
      <c r="E31" s="34" t="s">
        <v>1115</v>
      </c>
      <c r="F31" s="34" t="s">
        <v>1116</v>
      </c>
      <c r="G31" s="34" t="s">
        <v>1117</v>
      </c>
      <c r="H31" s="34" t="s">
        <v>1118</v>
      </c>
      <c r="I31" s="1"/>
      <c r="J31" s="14"/>
      <c r="K31" s="34" t="str">
        <f>WarningConfig!P80</f>
        <v>WrnList_Warning19</v>
      </c>
      <c r="L31" s="35" t="s">
        <v>1046</v>
      </c>
      <c r="M31" s="35" t="s">
        <v>727</v>
      </c>
      <c r="N31" s="35" t="s">
        <v>1115</v>
      </c>
      <c r="O31" s="35" t="s">
        <v>1117</v>
      </c>
      <c r="P31" s="35" t="s">
        <v>1116</v>
      </c>
      <c r="Q31" s="35" t="s">
        <v>1118</v>
      </c>
      <c r="S31" t="str">
        <f>WarningConfig!B80</f>
        <v>Warning19</v>
      </c>
      <c r="T31" t="str">
        <f>WarningConfig!K80</f>
        <v>行驶过程中菜单不能激活</v>
      </c>
      <c r="U31" t="str">
        <f>VLOOKUP(T31,UEInput!I:N,2,0)</f>
        <v>Can Not Activate Menu 
When Running</v>
      </c>
      <c r="V31" t="str">
        <f>VLOOKUP(T31,UEInput!I:N,3,0)</f>
        <v>Запрет активации меню в движении</v>
      </c>
      <c r="W31" t="str">
        <f>VLOOKUP(T31,UEInput!I:N,5,0)</f>
        <v>لا يمكن تفعيل القائمة أثناء عملية القيادة</v>
      </c>
      <c r="X31" t="str">
        <f>VLOOKUP(T31,UEInput!I:N,4,0)</f>
        <v>منو در هنگام حرکت خودرو فعال نمی شود</v>
      </c>
      <c r="Y31" t="str">
        <f>VLOOKUP(T31,UEInput!I:N,6,0)</f>
        <v>El menú no puede ser activado durante la conducción</v>
      </c>
    </row>
    <row r="32" spans="1:25">
      <c r="A32" s="14"/>
      <c r="B32" s="34" t="str">
        <f>WarningConfig!O81</f>
        <v>Wrn_Warning20</v>
      </c>
      <c r="C32" s="34" t="s">
        <v>368</v>
      </c>
      <c r="D32" s="34" t="s">
        <v>526</v>
      </c>
      <c r="E32" s="34" t="s">
        <v>1155</v>
      </c>
      <c r="F32" s="34" t="s">
        <v>1156</v>
      </c>
      <c r="G32" s="34" t="s">
        <v>1157</v>
      </c>
      <c r="H32" s="34" t="s">
        <v>1437</v>
      </c>
      <c r="J32" s="14"/>
      <c r="K32" s="34" t="str">
        <f>WarningConfig!P81</f>
        <v>WrnList_Warning20</v>
      </c>
      <c r="L32" s="35" t="s">
        <v>368</v>
      </c>
      <c r="M32" s="35" t="s">
        <v>526</v>
      </c>
      <c r="N32" s="35" t="s">
        <v>1155</v>
      </c>
      <c r="O32" s="35" t="s">
        <v>1157</v>
      </c>
      <c r="P32" s="35" t="s">
        <v>1156</v>
      </c>
      <c r="Q32" s="35" t="s">
        <v>1437</v>
      </c>
      <c r="S32" t="str">
        <f>WarningConfig!B81</f>
        <v>Warning20</v>
      </c>
      <c r="T32" t="str">
        <f>WarningConfig!K81</f>
        <v>巡航系统退出</v>
      </c>
      <c r="U32" t="str">
        <f>VLOOKUP(T32,UEInput!I:N,2,0)</f>
        <v>CC Cancelled</v>
      </c>
      <c r="V32" t="str">
        <f>VLOOKUP(T32,UEInput!I:N,3,0)</f>
        <v>Выключена система круиза-контроля</v>
      </c>
      <c r="W32" t="str">
        <f>VLOOKUP(T32,UEInput!I:N,5,0)</f>
        <v>الخروج من نظام مثبت السرعة</v>
      </c>
      <c r="X32" t="str">
        <f>VLOOKUP(T32,UEInput!I:N,4,0)</f>
        <v>خروج از سیستم کنترل کروز</v>
      </c>
      <c r="Y32" t="str">
        <f>VLOOKUP(T32,UEInput!I:N,6,0)</f>
        <v>Salir del sistema de crucero</v>
      </c>
    </row>
    <row r="33" spans="1:25">
      <c r="A33" s="14"/>
      <c r="B33" s="34" t="str">
        <f>WarningConfig!O82</f>
        <v>Wrn_Warning21</v>
      </c>
      <c r="C33" s="34" t="s">
        <v>369</v>
      </c>
      <c r="D33" s="34" t="s">
        <v>720</v>
      </c>
      <c r="E33" s="34" t="s">
        <v>1438</v>
      </c>
      <c r="F33" s="34" t="s">
        <v>1439</v>
      </c>
      <c r="G33" s="34" t="s">
        <v>1440</v>
      </c>
      <c r="H33" s="34" t="s">
        <v>1441</v>
      </c>
      <c r="J33" s="14"/>
      <c r="K33" s="34" t="str">
        <f>WarningConfig!P82</f>
        <v>WrnList_Warning21</v>
      </c>
      <c r="L33" s="35" t="s">
        <v>369</v>
      </c>
      <c r="M33" s="35" t="s">
        <v>728</v>
      </c>
      <c r="N33" s="35" t="s">
        <v>1438</v>
      </c>
      <c r="O33" s="35" t="s">
        <v>1440</v>
      </c>
      <c r="P33" s="35" t="s">
        <v>1439</v>
      </c>
      <c r="Q33" s="35" t="s">
        <v>1441</v>
      </c>
      <c r="S33" t="str">
        <f>WarningConfig!B82</f>
        <v>Warning21</v>
      </c>
      <c r="T33" t="str">
        <f>WarningConfig!K82</f>
        <v>巡航系统无法激活</v>
      </c>
      <c r="U33" t="str">
        <f>VLOOKUP(T33,UEInput!I:N,2,0)</f>
        <v>CC System can not be actived</v>
      </c>
      <c r="V33" t="str">
        <f>VLOOKUP(T33,UEInput!I:N,3,0)</f>
        <v>Невозможность активации системы круиза-контроля</v>
      </c>
      <c r="W33" t="str">
        <f>VLOOKUP(T33,UEInput!I:N,5,0)</f>
        <v>لا يمكن تفعيل نظام مثبت السرعة</v>
      </c>
      <c r="X33" t="str">
        <f>VLOOKUP(T33,UEInput!I:N,4,0)</f>
        <v>سیستم کنترل کروز فعال نشد</v>
      </c>
      <c r="Y33" t="str">
        <f>VLOOKUP(T33,UEInput!I:N,6,0)</f>
        <v>El sistema de crucero no se puede activar</v>
      </c>
    </row>
    <row r="34" spans="1:25">
      <c r="A34" s="14"/>
      <c r="B34" s="34" t="str">
        <f>WarningConfig!O83</f>
        <v>Wrn_Warning22</v>
      </c>
      <c r="C34" s="34" t="s">
        <v>707</v>
      </c>
      <c r="D34" s="34" t="s">
        <v>721</v>
      </c>
      <c r="E34" s="34" t="s">
        <v>1442</v>
      </c>
      <c r="F34" s="34" t="s">
        <v>1443</v>
      </c>
      <c r="G34" s="34" t="s">
        <v>1444</v>
      </c>
      <c r="H34" s="34" t="s">
        <v>1445</v>
      </c>
      <c r="I34" s="1"/>
      <c r="J34" s="14"/>
      <c r="K34" s="34" t="str">
        <f>WarningConfig!P83</f>
        <v>WrnList_Warning22</v>
      </c>
      <c r="L34" s="35" t="s">
        <v>1047</v>
      </c>
      <c r="M34" s="35" t="s">
        <v>728</v>
      </c>
      <c r="N34" s="35" t="s">
        <v>1442</v>
      </c>
      <c r="O34" s="35" t="s">
        <v>1444</v>
      </c>
      <c r="P34" s="35" t="s">
        <v>1443</v>
      </c>
      <c r="Q34" s="35" t="s">
        <v>1445</v>
      </c>
      <c r="S34" t="str">
        <f>WarningConfig!B83</f>
        <v>Warning22</v>
      </c>
      <c r="T34" t="str">
        <f>WarningConfig!K83</f>
        <v>巡航系统无法激活
安全带未系</v>
      </c>
      <c r="U34" t="str">
        <f>VLOOKUP(T34,UEInput!I:N,2,0)</f>
        <v>CC System can not be actived, seatbelt not tie</v>
      </c>
      <c r="V34" t="str">
        <f>VLOOKUP(T34,UEInput!I:N,3,0)</f>
        <v>Невозможность активации системы круиза-контроля Не пристегнут ремень безопасности</v>
      </c>
      <c r="W34" t="str">
        <f>VLOOKUP(T34,UEInput!I:N,5,0)</f>
        <v>لا يمكن تفعيل نظام مثبت السرعة بسبب عدم ربط حزام الأمان</v>
      </c>
      <c r="X34" t="str">
        <f>VLOOKUP(T34,UEInput!I:N,4,0)</f>
        <v>سیستم کنترل کروز فعال نشد
کمربند ایمنی بسته نشد</v>
      </c>
      <c r="Y34" t="str">
        <f>VLOOKUP(T34,UEInput!I:N,6,0)</f>
        <v>El sistema de crucero no se puede activar
No lleve el cinturón de seguridad</v>
      </c>
    </row>
    <row r="35" spans="1:25">
      <c r="A35" s="14"/>
      <c r="B35" s="34" t="str">
        <f>WarningConfig!O84</f>
        <v>Wrn_Warning23</v>
      </c>
      <c r="C35" s="34" t="s">
        <v>708</v>
      </c>
      <c r="D35" s="34" t="s">
        <v>714</v>
      </c>
      <c r="E35" s="34" t="s">
        <v>1446</v>
      </c>
      <c r="F35" s="34" t="s">
        <v>1447</v>
      </c>
      <c r="G35" s="34" t="s">
        <v>1448</v>
      </c>
      <c r="H35" s="34" t="s">
        <v>1449</v>
      </c>
      <c r="I35" s="1"/>
      <c r="J35" s="14"/>
      <c r="K35" s="34" t="str">
        <f>WarningConfig!P84</f>
        <v>WrnList_Warning23</v>
      </c>
      <c r="L35" s="35" t="s">
        <v>1047</v>
      </c>
      <c r="M35" s="35" t="s">
        <v>728</v>
      </c>
      <c r="N35" s="35" t="s">
        <v>1446</v>
      </c>
      <c r="O35" s="35" t="s">
        <v>1448</v>
      </c>
      <c r="P35" s="35" t="s">
        <v>1447</v>
      </c>
      <c r="Q35" s="35" t="s">
        <v>1449</v>
      </c>
      <c r="S35" t="str">
        <f>WarningConfig!B84</f>
        <v>Warning23</v>
      </c>
      <c r="T35" t="str">
        <f>WarningConfig!K84</f>
        <v>巡航系统无法激活
四门两盖未关闭</v>
      </c>
      <c r="U35" t="str">
        <f>VLOOKUP(T35,UEInput!I:N,2,0)</f>
        <v>CC System can not be actived,Door not close</v>
      </c>
      <c r="V35" t="str">
        <f>VLOOKUP(T35,UEInput!I:N,3,0)</f>
        <v>Невозможность активации системы круиза-контроля Не закрыты четыре двери салона и две крышки</v>
      </c>
      <c r="W35" t="str">
        <f>VLOOKUP(T35,UEInput!I:N,5,0)</f>
        <v>لا يمكن تفعيل نظام مثبت السرعة بسبب عدم اغلاف جميع الأبواب والغطائين</v>
      </c>
      <c r="X35" t="str">
        <f>VLOOKUP(T35,UEInput!I:N,4,0)</f>
        <v>سیستم کنترل کروز فعال نشد
درب‌های جانبی و درب‌های صندوق‌های جلو و عقب بسته نشد</v>
      </c>
      <c r="Y35" t="str">
        <f>VLOOKUP(T35,UEInput!I:N,6,0)</f>
        <v>El sistema de crucero no se puede activar
Cuatro puertas y dos cubiertas no están cerradas</v>
      </c>
    </row>
    <row r="36" spans="1:25" ht="27">
      <c r="A36" s="14"/>
      <c r="B36" s="34" t="str">
        <f>WarningConfig!O85</f>
        <v>Wrn_Warning24</v>
      </c>
      <c r="C36" s="45" t="s">
        <v>1088</v>
      </c>
      <c r="D36" s="34" t="s">
        <v>760</v>
      </c>
      <c r="E36" s="34" t="s">
        <v>1450</v>
      </c>
      <c r="F36" s="34" t="s">
        <v>1451</v>
      </c>
      <c r="G36" s="34" t="s">
        <v>1452</v>
      </c>
      <c r="H36" s="34" t="s">
        <v>1453</v>
      </c>
      <c r="I36" s="1"/>
      <c r="J36" s="14"/>
      <c r="K36" s="34" t="str">
        <f>WarningConfig!P85</f>
        <v>WrnList_Warning24</v>
      </c>
      <c r="L36" s="35" t="s">
        <v>1047</v>
      </c>
      <c r="M36" s="35" t="s">
        <v>728</v>
      </c>
      <c r="N36" s="35" t="s">
        <v>1450</v>
      </c>
      <c r="O36" s="35" t="s">
        <v>1452</v>
      </c>
      <c r="P36" s="35" t="s">
        <v>1451</v>
      </c>
      <c r="Q36" s="35" t="s">
        <v>1453</v>
      </c>
      <c r="S36" t="str">
        <f>WarningConfig!B85</f>
        <v>Warning24</v>
      </c>
      <c r="T36" t="str">
        <f>WarningConfig!K85</f>
        <v>巡航系统无法激活
挡位不在D挡</v>
      </c>
      <c r="U36" t="str">
        <f>VLOOKUP(T36,UEInput!I:N,2,0)</f>
        <v>CC System can not be actived,  gear not  D</v>
      </c>
      <c r="V36" t="str">
        <f>VLOOKUP(T36,UEInput!I:N,3,0)</f>
        <v>Невозможность активации системы круиза-контроля Не включена передача D</v>
      </c>
      <c r="W36" t="str">
        <f>VLOOKUP(T36,UEInput!I:N,5,0)</f>
        <v>لا يمكن تفعيل نظام مثبت السرعة بسبب عدم وجود الذراع في وضع D</v>
      </c>
      <c r="X36" t="str">
        <f>VLOOKUP(T36,UEInput!I:N,4,0)</f>
        <v>سیستم کنترل کروز فعال نشد
دنده در دنده D قرار نگرفته است</v>
      </c>
      <c r="Y36" t="str">
        <f>VLOOKUP(T36,UEInput!I:N,6,0)</f>
        <v>El sistema de control de crucero no se puede activar
La marcha no posiciona la marcha D</v>
      </c>
    </row>
    <row r="37" spans="1:25">
      <c r="A37" s="14"/>
      <c r="B37" s="34" t="str">
        <f>WarningConfig!O86</f>
        <v>Wrn_Warning25</v>
      </c>
      <c r="C37" s="34" t="s">
        <v>709</v>
      </c>
      <c r="D37" s="34" t="s">
        <v>722</v>
      </c>
      <c r="E37" s="34" t="s">
        <v>1454</v>
      </c>
      <c r="F37" s="34" t="s">
        <v>1455</v>
      </c>
      <c r="G37" s="34" t="s">
        <v>1456</v>
      </c>
      <c r="H37" s="34" t="s">
        <v>1457</v>
      </c>
      <c r="I37" s="1"/>
      <c r="J37" s="14"/>
      <c r="K37" s="34" t="str">
        <f>WarningConfig!P86</f>
        <v>WrnList_Warning25</v>
      </c>
      <c r="L37" s="35" t="s">
        <v>1048</v>
      </c>
      <c r="M37" s="35" t="s">
        <v>728</v>
      </c>
      <c r="N37" s="35" t="s">
        <v>1454</v>
      </c>
      <c r="O37" s="35" t="s">
        <v>1456</v>
      </c>
      <c r="P37" s="35" t="s">
        <v>1455</v>
      </c>
      <c r="Q37" s="35" t="s">
        <v>1457</v>
      </c>
      <c r="S37" t="str">
        <f>WarningConfig!B86</f>
        <v>Warning25</v>
      </c>
      <c r="T37" t="str">
        <f>WarningConfig!K86</f>
        <v>巡航系统无法激活
前方无引导车</v>
      </c>
      <c r="U37" t="str">
        <f>VLOOKUP(T37,UEInput!I:N,2,0)</f>
        <v>CC System can not be actived, no leading vehicle</v>
      </c>
      <c r="V37" t="str">
        <f>VLOOKUP(T37,UEInput!I:N,3,0)</f>
        <v>Невозможность активации системы круиза-контроля Отсутствие впереди машины сопровождения</v>
      </c>
      <c r="W37" t="str">
        <f>VLOOKUP(T37,UEInput!I:N,5,0)</f>
        <v>لا يمكن تفعيل نظام مثبت السرعة بسبب عدم وجود مركبة الدليل امامه</v>
      </c>
      <c r="X37" t="str">
        <f>VLOOKUP(T37,UEInput!I:N,4,0)</f>
        <v>سیستم کنترل کروز فعال نشد
خودروی راهنما در جلو وجود ندارد</v>
      </c>
      <c r="Y37" t="str">
        <f>VLOOKUP(T37,UEInput!I:N,6,0)</f>
        <v>El sistema de control de crucero no se puede activar
En el frente no hay vehículo de orientación</v>
      </c>
    </row>
    <row r="38" spans="1:25">
      <c r="A38" s="14"/>
      <c r="B38" s="34" t="str">
        <f>WarningConfig!O87</f>
        <v>Wrn_Warning26</v>
      </c>
      <c r="C38" s="34" t="s">
        <v>710</v>
      </c>
      <c r="D38" s="34" t="s">
        <v>761</v>
      </c>
      <c r="E38" s="34" t="s">
        <v>1458</v>
      </c>
      <c r="F38" s="34" t="s">
        <v>1459</v>
      </c>
      <c r="G38" s="34" t="s">
        <v>1460</v>
      </c>
      <c r="H38" s="34" t="s">
        <v>1461</v>
      </c>
      <c r="I38" s="1"/>
      <c r="J38" s="14"/>
      <c r="K38" s="34" t="str">
        <f>WarningConfig!P87</f>
        <v>WrnList_Warning26</v>
      </c>
      <c r="L38" s="35" t="s">
        <v>1047</v>
      </c>
      <c r="M38" s="35" t="s">
        <v>728</v>
      </c>
      <c r="N38" s="35" t="s">
        <v>1458</v>
      </c>
      <c r="O38" s="35" t="s">
        <v>1460</v>
      </c>
      <c r="P38" s="35" t="s">
        <v>1459</v>
      </c>
      <c r="Q38" s="35" t="s">
        <v>1461</v>
      </c>
      <c r="S38" t="str">
        <f>WarningConfig!B87</f>
        <v>Warning26</v>
      </c>
      <c r="T38" t="str">
        <f>WarningConfig!K87</f>
        <v>巡航系统无法激活
车速不满足</v>
      </c>
      <c r="U38" t="str">
        <f>VLOOKUP(T38,UEInput!I:N,2,0)</f>
        <v xml:space="preserve">CC System can not be actived,  vehicle speed not reach </v>
      </c>
      <c r="V38" t="str">
        <f>VLOOKUP(T38,UEInput!I:N,3,0)</f>
        <v>Невозможность активации системы круиза-контроля Не удовлетворение скорости движения машины</v>
      </c>
      <c r="W38" t="str">
        <f>VLOOKUP(T38,UEInput!I:N,5,0)</f>
        <v>لا يمكن تفعيل نظام مثبت السرعة بسبب عدم سرعة القيادة المتطلبات</v>
      </c>
      <c r="X38" t="str">
        <f>VLOOKUP(T38,UEInput!I:N,4,0)</f>
        <v>سیستم کنترل کروز فعال نشد
سرعت به حد مورد نیاز نرسیده است</v>
      </c>
      <c r="Y38" t="str">
        <f>VLOOKUP(T38,UEInput!I:N,6,0)</f>
        <v>El sistema de control de crucero no se puede activar
La velocidad no está alcanzada suficientemente</v>
      </c>
    </row>
    <row r="39" spans="1:25">
      <c r="A39" s="14"/>
      <c r="B39" s="34" t="str">
        <f>WarningConfig!O88</f>
        <v>Wrn_SwitchToComfortWrn</v>
      </c>
      <c r="C39" s="34" t="s">
        <v>1581</v>
      </c>
      <c r="D39" s="34" t="s">
        <v>473</v>
      </c>
      <c r="E39" s="34" t="s">
        <v>473</v>
      </c>
      <c r="F39" s="34" t="s">
        <v>473</v>
      </c>
      <c r="G39" s="34" t="s">
        <v>473</v>
      </c>
      <c r="H39" s="34" t="s">
        <v>473</v>
      </c>
      <c r="J39" s="14"/>
      <c r="K39" s="34" t="str">
        <f>WarningConfig!P88</f>
        <v>WrnList_SwitchToComfortWrn</v>
      </c>
      <c r="L39" s="35" t="s">
        <v>1611</v>
      </c>
      <c r="M39" s="35" t="s">
        <v>473</v>
      </c>
      <c r="N39" s="35" t="s">
        <v>473</v>
      </c>
      <c r="O39" s="35" t="s">
        <v>473</v>
      </c>
      <c r="P39" s="35" t="s">
        <v>473</v>
      </c>
      <c r="Q39" s="35" t="s">
        <v>473</v>
      </c>
      <c r="S39" t="str">
        <f>WarningConfig!B88</f>
        <v>SwitchToComfortWrn</v>
      </c>
      <c r="T39" t="str">
        <f>WarningConfig!K88</f>
        <v>系统故障，自动切换舒适模式</v>
      </c>
      <c r="U39" t="str">
        <f>VLOOKUP(T39,UEInput!I:N,2,0)</f>
        <v>NA</v>
      </c>
      <c r="V39" t="str">
        <f>VLOOKUP(T39,UEInput!I:N,3,0)</f>
        <v>NA</v>
      </c>
      <c r="W39" t="str">
        <f>VLOOKUP(T39,UEInput!I:N,5,0)</f>
        <v>NA</v>
      </c>
      <c r="X39" t="str">
        <f>VLOOKUP(T39,UEInput!I:N,4,0)</f>
        <v>NA</v>
      </c>
      <c r="Y39" t="str">
        <f>VLOOKUP(T39,UEInput!I:N,6,0)</f>
        <v>NA</v>
      </c>
    </row>
    <row r="40" spans="1:25">
      <c r="A40" s="14"/>
      <c r="B40" s="34" t="str">
        <f>WarningConfig!O89</f>
        <v>Wrn_TCUHeatSwitchDisableWrn</v>
      </c>
      <c r="C40" s="34" t="s">
        <v>1585</v>
      </c>
      <c r="D40" s="34" t="s">
        <v>473</v>
      </c>
      <c r="E40" s="34" t="s">
        <v>473</v>
      </c>
      <c r="F40" s="34" t="s">
        <v>473</v>
      </c>
      <c r="G40" s="34" t="s">
        <v>473</v>
      </c>
      <c r="H40" s="34" t="s">
        <v>473</v>
      </c>
      <c r="J40" s="14"/>
      <c r="K40" s="34" t="str">
        <f>WarningConfig!P89</f>
        <v>WrnList_TCUHeatSwitchDisableWrn</v>
      </c>
      <c r="L40" s="35" t="s">
        <v>1612</v>
      </c>
      <c r="M40" s="35" t="s">
        <v>473</v>
      </c>
      <c r="N40" s="35" t="s">
        <v>473</v>
      </c>
      <c r="O40" s="35" t="s">
        <v>473</v>
      </c>
      <c r="P40" s="35" t="s">
        <v>473</v>
      </c>
      <c r="Q40" s="35" t="s">
        <v>473</v>
      </c>
      <c r="S40" t="str">
        <f>WarningConfig!B89</f>
        <v>TCUHeatSwitchDisableWrn</v>
      </c>
      <c r="T40" t="str">
        <f>WarningConfig!K89</f>
        <v>变速器过热，禁止切换驾驶模式</v>
      </c>
      <c r="U40" t="str">
        <f>VLOOKUP(T40,UEInput!I:N,2,0)</f>
        <v>NA</v>
      </c>
      <c r="V40" t="str">
        <f>VLOOKUP(T40,UEInput!I:N,3,0)</f>
        <v>NA</v>
      </c>
      <c r="W40" t="str">
        <f>VLOOKUP(T40,UEInput!I:N,5,0)</f>
        <v>NA</v>
      </c>
      <c r="X40" t="str">
        <f>VLOOKUP(T40,UEInput!I:N,4,0)</f>
        <v>NA</v>
      </c>
      <c r="Y40" t="str">
        <f>VLOOKUP(T40,UEInput!I:N,6,0)</f>
        <v>NA</v>
      </c>
    </row>
    <row r="41" spans="1:25">
      <c r="A41" s="14"/>
      <c r="B41" s="34" t="str">
        <f>WarningConfig!O90</f>
        <v>Wrn_TCUErrorSwitchDisableWrn</v>
      </c>
      <c r="C41" s="55" t="s">
        <v>1630</v>
      </c>
      <c r="D41" s="34" t="s">
        <v>473</v>
      </c>
      <c r="E41" s="34" t="s">
        <v>473</v>
      </c>
      <c r="F41" s="34" t="s">
        <v>473</v>
      </c>
      <c r="G41" s="34" t="s">
        <v>473</v>
      </c>
      <c r="H41" s="34" t="s">
        <v>473</v>
      </c>
      <c r="J41" s="14"/>
      <c r="K41" s="34" t="str">
        <f>WarningConfig!P90</f>
        <v>WrnList_TCUErrorSwitchDisableWrn</v>
      </c>
      <c r="L41" s="35" t="s">
        <v>1613</v>
      </c>
      <c r="M41" s="35" t="s">
        <v>473</v>
      </c>
      <c r="N41" s="35" t="s">
        <v>473</v>
      </c>
      <c r="O41" s="35" t="s">
        <v>473</v>
      </c>
      <c r="P41" s="35" t="s">
        <v>473</v>
      </c>
      <c r="Q41" s="35" t="s">
        <v>473</v>
      </c>
      <c r="S41" t="str">
        <f>WarningConfig!B90</f>
        <v>TCUErrorSwitchDisableWrn</v>
      </c>
      <c r="T41" t="str">
        <f>WarningConfig!K90</f>
        <v>变速器处于故障模式，禁止切换驾驶模式</v>
      </c>
      <c r="U41" t="str">
        <f>VLOOKUP(T41,UEInput!I:N,2,0)</f>
        <v>NA</v>
      </c>
      <c r="V41" t="str">
        <f>VLOOKUP(T41,UEInput!I:N,3,0)</f>
        <v>NA</v>
      </c>
      <c r="W41" t="str">
        <f>VLOOKUP(T41,UEInput!I:N,5,0)</f>
        <v>NA</v>
      </c>
      <c r="X41" t="str">
        <f>VLOOKUP(T41,UEInput!I:N,4,0)</f>
        <v>NA</v>
      </c>
      <c r="Y41" t="str">
        <f>VLOOKUP(T41,UEInput!I:N,6,0)</f>
        <v>NA</v>
      </c>
    </row>
    <row r="42" spans="1:25">
      <c r="A42" s="14"/>
      <c r="B42" s="34" t="str">
        <f>WarningConfig!O91</f>
        <v>Wrn_HighlandSwitchDisableWrn</v>
      </c>
      <c r="C42" s="55" t="s">
        <v>1631</v>
      </c>
      <c r="D42" s="34" t="s">
        <v>473</v>
      </c>
      <c r="E42" s="34" t="s">
        <v>473</v>
      </c>
      <c r="F42" s="34" t="s">
        <v>473</v>
      </c>
      <c r="G42" s="34" t="s">
        <v>473</v>
      </c>
      <c r="H42" s="34" t="s">
        <v>473</v>
      </c>
      <c r="J42" s="14"/>
      <c r="K42" s="34" t="str">
        <f>WarningConfig!P91</f>
        <v>WrnList_HighlandSwitchDisableWrn</v>
      </c>
      <c r="L42" s="35" t="s">
        <v>1614</v>
      </c>
      <c r="M42" s="35" t="s">
        <v>473</v>
      </c>
      <c r="N42" s="35" t="s">
        <v>473</v>
      </c>
      <c r="O42" s="35" t="s">
        <v>473</v>
      </c>
      <c r="P42" s="35" t="s">
        <v>473</v>
      </c>
      <c r="Q42" s="35" t="s">
        <v>473</v>
      </c>
      <c r="S42" t="str">
        <f>WarningConfig!B91</f>
        <v>HighlandSwitchDisableWrn</v>
      </c>
      <c r="T42" t="str">
        <f>WarningConfig!K91</f>
        <v>变速器处于高原模式，禁止切换驾驶模式</v>
      </c>
      <c r="U42" t="str">
        <f>VLOOKUP(T42,UEInput!I:N,2,0)</f>
        <v>NA</v>
      </c>
      <c r="V42" t="str">
        <f>VLOOKUP(T42,UEInput!I:N,3,0)</f>
        <v>NA</v>
      </c>
      <c r="W42" t="str">
        <f>VLOOKUP(T42,UEInput!I:N,5,0)</f>
        <v>NA</v>
      </c>
      <c r="X42" t="str">
        <f>VLOOKUP(T42,UEInput!I:N,4,0)</f>
        <v>NA</v>
      </c>
      <c r="Y42" t="str">
        <f>VLOOKUP(T42,UEInput!I:N,6,0)</f>
        <v>NA</v>
      </c>
    </row>
    <row r="43" spans="1:25">
      <c r="A43" s="14"/>
      <c r="B43" s="34" t="str">
        <f>WarningConfig!O92</f>
        <v>Wrn_SlipSwitchDisableWrn</v>
      </c>
      <c r="C43" s="34" t="s">
        <v>1594</v>
      </c>
      <c r="D43" s="34" t="s">
        <v>473</v>
      </c>
      <c r="E43" s="34" t="s">
        <v>473</v>
      </c>
      <c r="F43" s="34" t="s">
        <v>473</v>
      </c>
      <c r="G43" s="34" t="s">
        <v>473</v>
      </c>
      <c r="H43" s="34" t="s">
        <v>473</v>
      </c>
      <c r="J43" s="14"/>
      <c r="K43" s="34" t="str">
        <f>WarningConfig!P92</f>
        <v>WrnList_SlipSwitchDisableWrn</v>
      </c>
      <c r="L43" s="35" t="s">
        <v>1615</v>
      </c>
      <c r="M43" s="35" t="s">
        <v>473</v>
      </c>
      <c r="N43" s="35" t="s">
        <v>473</v>
      </c>
      <c r="O43" s="35" t="s">
        <v>473</v>
      </c>
      <c r="P43" s="35" t="s">
        <v>473</v>
      </c>
      <c r="Q43" s="35" t="s">
        <v>473</v>
      </c>
      <c r="S43" t="str">
        <f>WarningConfig!B92</f>
        <v>SlipSwitchDisableWrn</v>
      </c>
      <c r="T43" t="str">
        <f>WarningConfig!K92</f>
        <v>车轮打滑，禁止切换驾驶模式</v>
      </c>
      <c r="U43" t="str">
        <f>VLOOKUP(T43,UEInput!I:N,2,0)</f>
        <v>NA</v>
      </c>
      <c r="V43" t="str">
        <f>VLOOKUP(T43,UEInput!I:N,3,0)</f>
        <v>NA</v>
      </c>
      <c r="W43" t="str">
        <f>VLOOKUP(T43,UEInput!I:N,5,0)</f>
        <v>NA</v>
      </c>
      <c r="X43" t="str">
        <f>VLOOKUP(T43,UEInput!I:N,4,0)</f>
        <v>NA</v>
      </c>
      <c r="Y43" t="str">
        <f>VLOOKUP(T43,UEInput!I:N,6,0)</f>
        <v>NA</v>
      </c>
    </row>
    <row r="44" spans="1:25">
      <c r="A44" s="14"/>
      <c r="B44" s="34" t="str">
        <f>WarningConfig!O93</f>
        <v>Wrn_EPSSwitchDisableWrn</v>
      </c>
      <c r="C44" s="55" t="s">
        <v>1629</v>
      </c>
      <c r="D44" s="34" t="s">
        <v>473</v>
      </c>
      <c r="E44" s="34" t="s">
        <v>473</v>
      </c>
      <c r="F44" s="34" t="s">
        <v>473</v>
      </c>
      <c r="G44" s="34" t="s">
        <v>473</v>
      </c>
      <c r="H44" s="34" t="s">
        <v>473</v>
      </c>
      <c r="J44" s="14"/>
      <c r="K44" s="34" t="str">
        <f>WarningConfig!P93</f>
        <v>WrnList_EPSSwitchDisableWrn</v>
      </c>
      <c r="L44" s="35" t="s">
        <v>1616</v>
      </c>
      <c r="M44" s="35" t="s">
        <v>473</v>
      </c>
      <c r="N44" s="35" t="s">
        <v>473</v>
      </c>
      <c r="O44" s="35" t="s">
        <v>473</v>
      </c>
      <c r="P44" s="35" t="s">
        <v>473</v>
      </c>
      <c r="Q44" s="35" t="s">
        <v>473</v>
      </c>
      <c r="S44" t="str">
        <f>WarningConfig!B93</f>
        <v>EPSSwitchDisableWrn</v>
      </c>
      <c r="T44" t="str">
        <f>WarningConfig!K93</f>
        <v>EPS条件不满足，驾驶模式切换失败</v>
      </c>
      <c r="U44" t="str">
        <f>VLOOKUP(T44,UEInput!I:N,2,0)</f>
        <v>NA</v>
      </c>
      <c r="V44" t="str">
        <f>VLOOKUP(T44,UEInput!I:N,3,0)</f>
        <v>NA</v>
      </c>
      <c r="W44" t="str">
        <f>VLOOKUP(T44,UEInput!I:N,5,0)</f>
        <v>NA</v>
      </c>
      <c r="X44" t="str">
        <f>VLOOKUP(T44,UEInput!I:N,4,0)</f>
        <v>NA</v>
      </c>
      <c r="Y44" t="str">
        <f>VLOOKUP(T44,UEInput!I:N,6,0)</f>
        <v>NA</v>
      </c>
    </row>
    <row r="45" spans="1:25">
      <c r="A45" s="14"/>
      <c r="B45" s="34" t="str">
        <f>WarningConfig!O94</f>
        <v>Wrn_AutoHoldEnableWrn</v>
      </c>
      <c r="C45" s="34" t="s">
        <v>370</v>
      </c>
      <c r="D45" s="34" t="s">
        <v>568</v>
      </c>
      <c r="E45" s="34" t="s">
        <v>1247</v>
      </c>
      <c r="F45" s="34" t="s">
        <v>1248</v>
      </c>
      <c r="G45" s="34" t="s">
        <v>1249</v>
      </c>
      <c r="H45" s="34" t="s">
        <v>1250</v>
      </c>
      <c r="J45" s="14"/>
      <c r="K45" s="34" t="str">
        <f>WarningConfig!P94</f>
        <v>WrnList_AutoHoldEnableWrn</v>
      </c>
      <c r="L45" s="35" t="s">
        <v>370</v>
      </c>
      <c r="M45" s="35" t="s">
        <v>568</v>
      </c>
      <c r="N45" s="35" t="s">
        <v>1247</v>
      </c>
      <c r="O45" s="35" t="s">
        <v>1249</v>
      </c>
      <c r="P45" s="35" t="s">
        <v>1248</v>
      </c>
      <c r="Q45" s="35" t="s">
        <v>1250</v>
      </c>
      <c r="S45" t="str">
        <f>WarningConfig!B94</f>
        <v>AutoHoldEnableWrn</v>
      </c>
      <c r="T45" t="str">
        <f>WarningConfig!K94</f>
        <v>自动驻车功能开启</v>
      </c>
      <c r="U45" t="str">
        <f>VLOOKUP(T45,UEInput!I:N,2,0)</f>
        <v>AutoHold Enable</v>
      </c>
      <c r="V45" t="str">
        <f>VLOOKUP(T45,UEInput!I:N,3,0)</f>
        <v>Включена функция автоматического стояночного тормоза</v>
      </c>
      <c r="W45" t="str">
        <f>VLOOKUP(T45,UEInput!I:N,5,0)</f>
        <v>تشغيل وظيفة وقوف المركبة التلقائي</v>
      </c>
      <c r="X45" t="str">
        <f>VLOOKUP(T45,UEInput!I:N,4,0)</f>
        <v>سیستم ترمز پارک اتوماتیک فعال</v>
      </c>
      <c r="Y45" t="str">
        <f>VLOOKUP(T45,UEInput!I:N,6,0)</f>
        <v>Abrir la función de estacionamiento automático</v>
      </c>
    </row>
    <row r="46" spans="1:25">
      <c r="A46" s="14"/>
      <c r="B46" s="34" t="str">
        <f>WarningConfig!O95</f>
        <v>Wrn_HDCPreparingWrn</v>
      </c>
      <c r="C46" s="34" t="s">
        <v>372</v>
      </c>
      <c r="D46" s="34" t="s">
        <v>559</v>
      </c>
      <c r="E46" s="34" t="s">
        <v>1283</v>
      </c>
      <c r="F46" s="34" t="s">
        <v>1284</v>
      </c>
      <c r="G46" s="34" t="s">
        <v>1285</v>
      </c>
      <c r="H46" s="34" t="s">
        <v>1286</v>
      </c>
      <c r="J46" s="14"/>
      <c r="K46" s="34" t="str">
        <f>WarningConfig!P95</f>
        <v>WrnList_HDCPreparingWrn</v>
      </c>
      <c r="L46" s="35" t="s">
        <v>372</v>
      </c>
      <c r="M46" s="35" t="s">
        <v>559</v>
      </c>
      <c r="N46" s="35" t="s">
        <v>1283</v>
      </c>
      <c r="O46" s="35" t="s">
        <v>1285</v>
      </c>
      <c r="P46" s="35" t="s">
        <v>1284</v>
      </c>
      <c r="Q46" s="35" t="s">
        <v>1286</v>
      </c>
      <c r="S46" t="str">
        <f>WarningConfig!B95</f>
        <v>HDCPreparingWrn</v>
      </c>
      <c r="T46" t="str">
        <f>WarningConfig!K95</f>
        <v>陡坡缓降准备中</v>
      </c>
      <c r="U46" t="str">
        <f>VLOOKUP(T46,UEInput!I:N,2,0)</f>
        <v>HDC Not active</v>
      </c>
      <c r="V46" t="str">
        <f>VLOOKUP(T46,UEInput!I:N,3,0)</f>
        <v>Идет запуск системы помощи при спуске</v>
      </c>
      <c r="W46" t="str">
        <f>VLOOKUP(T46,UEInput!I:N,5,0)</f>
        <v>يتم إعداد نظام التحكم بالإنحدار</v>
      </c>
      <c r="X46" t="str">
        <f>VLOOKUP(T46,UEInput!I:N,4,0)</f>
        <v>تدارکات کنترل حرکت در سرازیری در جریان است</v>
      </c>
      <c r="Y46" t="str">
        <f>VLOOKUP(T46,UEInput!I:N,6,0)</f>
        <v>El descenso de pendientes está preparando</v>
      </c>
    </row>
    <row r="47" spans="1:25">
      <c r="A47" s="14"/>
      <c r="B47" s="34" t="str">
        <f>WarningConfig!O96</f>
        <v>Wrn_HDCActiveWrn</v>
      </c>
      <c r="C47" s="34" t="s">
        <v>374</v>
      </c>
      <c r="D47" s="34" t="s">
        <v>560</v>
      </c>
      <c r="E47" s="34" t="s">
        <v>1279</v>
      </c>
      <c r="F47" s="34" t="s">
        <v>1280</v>
      </c>
      <c r="G47" s="34" t="s">
        <v>1281</v>
      </c>
      <c r="H47" s="34" t="s">
        <v>1282</v>
      </c>
      <c r="J47" s="14"/>
      <c r="K47" s="34" t="str">
        <f>WarningConfig!P96</f>
        <v>WrnList_HDCActiveWrn</v>
      </c>
      <c r="L47" s="35" t="s">
        <v>374</v>
      </c>
      <c r="M47" s="35" t="s">
        <v>560</v>
      </c>
      <c r="N47" s="35" t="s">
        <v>1279</v>
      </c>
      <c r="O47" s="35" t="s">
        <v>1281</v>
      </c>
      <c r="P47" s="35" t="s">
        <v>1280</v>
      </c>
      <c r="Q47" s="35" t="s">
        <v>1282</v>
      </c>
      <c r="S47" t="str">
        <f>WarningConfig!B96</f>
        <v>HDCActiveWrn</v>
      </c>
      <c r="T47" t="str">
        <f>WarningConfig!K96</f>
        <v>陡坡缓降已启动</v>
      </c>
      <c r="U47" t="str">
        <f>VLOOKUP(T47,UEInput!I:N,2,0)</f>
        <v>HDC Active</v>
      </c>
      <c r="V47" t="str">
        <f>VLOOKUP(T47,UEInput!I:N,3,0)</f>
        <v>Включена система помощи при спуске</v>
      </c>
      <c r="W47" t="str">
        <f>VLOOKUP(T47,UEInput!I:N,5,0)</f>
        <v>تم تشغيل نظام التحكم بالإنحدار</v>
      </c>
      <c r="X47" t="str">
        <f>VLOOKUP(T47,UEInput!I:N,4,0)</f>
        <v>کنترل حرکت در سرازیری فعال است</v>
      </c>
      <c r="Y47" t="str">
        <f>VLOOKUP(T47,UEInput!I:N,6,0)</f>
        <v>El descenso de pendientes se ha iniciado</v>
      </c>
    </row>
    <row r="48" spans="1:25">
      <c r="A48" s="14"/>
      <c r="B48" s="34" t="str">
        <f>WarningConfig!O97</f>
        <v>Wrn_HDCOffWrn</v>
      </c>
      <c r="C48" s="34" t="s">
        <v>376</v>
      </c>
      <c r="D48" s="34" t="s">
        <v>558</v>
      </c>
      <c r="E48" s="34" t="s">
        <v>1287</v>
      </c>
      <c r="F48" s="34" t="s">
        <v>1288</v>
      </c>
      <c r="G48" s="34" t="s">
        <v>1289</v>
      </c>
      <c r="H48" s="34" t="s">
        <v>1290</v>
      </c>
      <c r="J48" s="14"/>
      <c r="K48" s="34" t="str">
        <f>WarningConfig!P97</f>
        <v>WrnList_HDCOffWrn</v>
      </c>
      <c r="L48" s="35" t="s">
        <v>376</v>
      </c>
      <c r="M48" s="35" t="s">
        <v>558</v>
      </c>
      <c r="N48" s="35" t="s">
        <v>1287</v>
      </c>
      <c r="O48" s="35" t="s">
        <v>1289</v>
      </c>
      <c r="P48" s="35" t="s">
        <v>1288</v>
      </c>
      <c r="Q48" s="35" t="s">
        <v>1290</v>
      </c>
      <c r="S48" t="str">
        <f>WarningConfig!B97</f>
        <v>HDCOffWrn</v>
      </c>
      <c r="T48" t="str">
        <f>WarningConfig!K97</f>
        <v>陡坡缓降已关闭</v>
      </c>
      <c r="U48" t="str">
        <f>VLOOKUP(T48,UEInput!I:N,2,0)</f>
        <v>HDC OFF</v>
      </c>
      <c r="V48" t="str">
        <f>VLOOKUP(T48,UEInput!I:N,3,0)</f>
        <v>Выключена система помощи при спуске</v>
      </c>
      <c r="W48" t="str">
        <f>VLOOKUP(T48,UEInput!I:N,5,0)</f>
        <v>تم ايقاف تشغيل نظام التحكم بالإنحدار</v>
      </c>
      <c r="X48" t="str">
        <f>VLOOKUP(T48,UEInput!I:N,4,0)</f>
        <v>کنترل حرک در سرازیری بسته است</v>
      </c>
      <c r="Y48" t="str">
        <f>VLOOKUP(T48,UEInput!I:N,6,0)</f>
        <v>El descenso de pendientes se ha cerrado</v>
      </c>
    </row>
    <row r="49" spans="1:25">
      <c r="A49" s="14"/>
      <c r="B49" s="34" t="str">
        <f>WarningConfig!O98</f>
        <v>Wrn_ESCOffWrn</v>
      </c>
      <c r="C49" s="34" t="s">
        <v>378</v>
      </c>
      <c r="D49" s="34" t="s">
        <v>1029</v>
      </c>
      <c r="E49" s="34" t="s">
        <v>1143</v>
      </c>
      <c r="F49" s="34" t="s">
        <v>1144</v>
      </c>
      <c r="G49" s="34" t="s">
        <v>1145</v>
      </c>
      <c r="H49" s="34" t="s">
        <v>1146</v>
      </c>
      <c r="J49" s="14"/>
      <c r="K49" s="34" t="str">
        <f>WarningConfig!P98</f>
        <v>WrnList_ESCOffWrn</v>
      </c>
      <c r="L49" s="35" t="s">
        <v>378</v>
      </c>
      <c r="M49" s="35" t="s">
        <v>1029</v>
      </c>
      <c r="N49" s="35" t="s">
        <v>1143</v>
      </c>
      <c r="O49" s="35" t="s">
        <v>1145</v>
      </c>
      <c r="P49" s="35" t="s">
        <v>1144</v>
      </c>
      <c r="Q49" s="35" t="s">
        <v>1146</v>
      </c>
      <c r="S49" t="str">
        <f>WarningConfig!B98</f>
        <v>ESCOffWrn</v>
      </c>
      <c r="T49" t="str">
        <f>WarningConfig!K98</f>
        <v>ESC系统关闭</v>
      </c>
      <c r="U49" t="str">
        <f>VLOOKUP(T49,UEInput!I:N,2,0)</f>
        <v>ESC Switch Off</v>
      </c>
      <c r="V49" t="str">
        <f>VLOOKUP(T49,UEInput!I:N,3,0)</f>
        <v>Отключена ESC</v>
      </c>
      <c r="W49" t="str">
        <f>VLOOKUP(T49,UEInput!I:N,5,0)</f>
        <v xml:space="preserve">اغلاق نظام ESC </v>
      </c>
      <c r="X49" t="str">
        <f>VLOOKUP(T49,UEInput!I:N,4,0)</f>
        <v>سیستم ESC بسته است</v>
      </c>
      <c r="Y49" t="str">
        <f>VLOOKUP(T49,UEInput!I:N,6,0)</f>
        <v>Cerrar el sistema de ESC</v>
      </c>
    </row>
    <row r="50" spans="1:25">
      <c r="A50" s="14"/>
      <c r="B50" s="34" t="str">
        <f>WarningConfig!O99</f>
        <v>Wrn_MaintainRemindWrn</v>
      </c>
      <c r="C50" s="34" t="s">
        <v>743</v>
      </c>
      <c r="D50" s="34" t="s">
        <v>744</v>
      </c>
      <c r="E50" s="34" t="s">
        <v>1107</v>
      </c>
      <c r="F50" s="34" t="s">
        <v>1108</v>
      </c>
      <c r="G50" s="34" t="s">
        <v>1109</v>
      </c>
      <c r="H50" s="34" t="s">
        <v>1110</v>
      </c>
      <c r="J50" s="14"/>
      <c r="K50" s="34" t="str">
        <f>WarningConfig!P99</f>
        <v>WrnList_MaintainRemindWrn</v>
      </c>
      <c r="L50" s="35" t="s">
        <v>766</v>
      </c>
      <c r="M50" s="35" t="s">
        <v>767</v>
      </c>
      <c r="N50" s="35" t="s">
        <v>1107</v>
      </c>
      <c r="O50" s="35" t="s">
        <v>1109</v>
      </c>
      <c r="P50" s="35" t="s">
        <v>1108</v>
      </c>
      <c r="Q50" s="35" t="s">
        <v>1110</v>
      </c>
      <c r="S50" t="str">
        <f>WarningConfig!B99</f>
        <v>MaintainRemindWrn</v>
      </c>
      <c r="T50" t="str">
        <f>WarningConfig!K99</f>
        <v>还有 %0 km需保养</v>
      </c>
      <c r="U50" t="str">
        <f>VLOOKUP(T50,UEInput!I:N,2,0)</f>
        <v xml:space="preserve"> %0 km to maintain</v>
      </c>
      <c r="V50" t="str">
        <f>VLOOKUP(T50,UEInput!I:N,3,0)</f>
        <v>До следующего ТО XXXKM</v>
      </c>
      <c r="W50" t="str">
        <f>VLOOKUP(T50,UEInput!I:N,5,0)</f>
        <v>هناك xxx كم قبل الصيانة</v>
      </c>
      <c r="X50" t="str">
        <f>VLOOKUP(T50,UEInput!I:N,4,0)</f>
        <v>تا پیمایش     کیلومتر دیگر به نگهداری خودرو بپردازید</v>
      </c>
      <c r="Y50" t="str">
        <f>VLOOKUP(T50,UEInput!I:N,6,0)</f>
        <v>Todavía necesita el mantenimiento de xxxkm</v>
      </c>
    </row>
    <row r="51" spans="1:25">
      <c r="A51" s="14"/>
      <c r="B51" s="34" t="str">
        <f>WarningConfig!O100</f>
        <v>Wrn_MaintainVehicleWrn</v>
      </c>
      <c r="C51" s="34" t="s">
        <v>633</v>
      </c>
      <c r="D51" s="34" t="s">
        <v>598</v>
      </c>
      <c r="E51" s="34" t="s">
        <v>1103</v>
      </c>
      <c r="F51" s="34" t="s">
        <v>1104</v>
      </c>
      <c r="G51" s="34" t="s">
        <v>1105</v>
      </c>
      <c r="H51" s="34" t="s">
        <v>1106</v>
      </c>
      <c r="J51" s="14"/>
      <c r="K51" s="34" t="str">
        <f>WarningConfig!P100</f>
        <v>WrnList_MaintainVehicleWrn</v>
      </c>
      <c r="L51" s="35" t="s">
        <v>633</v>
      </c>
      <c r="M51" s="35" t="s">
        <v>598</v>
      </c>
      <c r="N51" s="35" t="s">
        <v>1103</v>
      </c>
      <c r="O51" s="35" t="s">
        <v>1105</v>
      </c>
      <c r="P51" s="35" t="s">
        <v>1104</v>
      </c>
      <c r="Q51" s="35" t="s">
        <v>1106</v>
      </c>
      <c r="S51" t="str">
        <f>WarningConfig!B100</f>
        <v>MaintainVehicleWrn</v>
      </c>
      <c r="T51" t="str">
        <f>WarningConfig!K100</f>
        <v>请立即保养车辆</v>
      </c>
      <c r="U51" t="str">
        <f>VLOOKUP(T51,UEInput!I:N,2,0)</f>
        <v>Need to Maintain</v>
      </c>
      <c r="V51" t="str">
        <f>VLOOKUP(T51,UEInput!I:N,3,0)</f>
        <v>Проводите своевременно ТО</v>
      </c>
      <c r="W51" t="str">
        <f>VLOOKUP(T51,UEInput!I:N,5,0)</f>
        <v>يرجى صيانة المركبة فورا</v>
      </c>
      <c r="X51" t="str">
        <f>VLOOKUP(T51,UEInput!I:N,4,0)</f>
        <v>نگهداری فوری خودرو ضروری است</v>
      </c>
      <c r="Y51" t="str">
        <f>VLOOKUP(T51,UEInput!I:N,6,0)</f>
        <v>Por favor, inmediatamente haga el mantenimiento para el vehículo</v>
      </c>
    </row>
    <row r="52" spans="1:25">
      <c r="A52" s="14"/>
      <c r="B52" s="34" t="str">
        <f>WarningConfig!O101</f>
        <v>Wrn_PassAirbagClosedWrn</v>
      </c>
      <c r="C52" s="34" t="s">
        <v>282</v>
      </c>
      <c r="D52" s="34" t="s">
        <v>489</v>
      </c>
      <c r="E52" s="34" t="s">
        <v>473</v>
      </c>
      <c r="F52" s="34" t="s">
        <v>473</v>
      </c>
      <c r="G52" s="34" t="s">
        <v>473</v>
      </c>
      <c r="H52" s="34" t="s">
        <v>473</v>
      </c>
      <c r="J52" s="14"/>
      <c r="K52" s="34" t="str">
        <f>WarningConfig!P101</f>
        <v>WrnList_PassAirbagClosedWrn</v>
      </c>
      <c r="L52" s="35" t="s">
        <v>282</v>
      </c>
      <c r="M52" s="35" t="s">
        <v>729</v>
      </c>
      <c r="N52" s="35" t="s">
        <v>473</v>
      </c>
      <c r="O52" s="35" t="s">
        <v>473</v>
      </c>
      <c r="P52" s="35" t="s">
        <v>473</v>
      </c>
      <c r="Q52" s="35" t="s">
        <v>473</v>
      </c>
      <c r="S52" t="str">
        <f>WarningConfig!B101</f>
        <v>PassAirbagClosedWrn</v>
      </c>
      <c r="T52" t="str">
        <f>WarningConfig!K101</f>
        <v>副安全气囊关闭</v>
      </c>
      <c r="U52" t="str">
        <f>VLOOKUP(T52,UEInput!I:N,2,0)</f>
        <v>Passenger Airbag Off</v>
      </c>
      <c r="V52" t="str">
        <f>VLOOKUP(T52,UEInput!I:N,3,0)</f>
        <v>NA</v>
      </c>
      <c r="W52" t="str">
        <f>VLOOKUP(T52,UEInput!I:N,5,0)</f>
        <v>NA</v>
      </c>
      <c r="X52" t="str">
        <f>VLOOKUP(T52,UEInput!I:N,4,0)</f>
        <v>NA</v>
      </c>
      <c r="Y52" t="str">
        <f>VLOOKUP(T52,UEInput!I:N,6,0)</f>
        <v>NA</v>
      </c>
    </row>
    <row r="53" spans="1:25">
      <c r="A53" s="14"/>
      <c r="B53" s="34" t="str">
        <f>WarningConfig!O102</f>
        <v>Wrn_FuelLowWrn</v>
      </c>
      <c r="C53" s="34" t="s">
        <v>478</v>
      </c>
      <c r="D53" s="34" t="s">
        <v>593</v>
      </c>
      <c r="E53" s="34" t="s">
        <v>1127</v>
      </c>
      <c r="F53" s="34" t="s">
        <v>1128</v>
      </c>
      <c r="G53" s="34" t="s">
        <v>1129</v>
      </c>
      <c r="H53" s="34" t="s">
        <v>1130</v>
      </c>
      <c r="J53" s="14"/>
      <c r="K53" s="34" t="str">
        <f>WarningConfig!P102</f>
        <v>WrnList_FuelLowWrn</v>
      </c>
      <c r="L53" s="35" t="s">
        <v>478</v>
      </c>
      <c r="M53" s="35" t="s">
        <v>593</v>
      </c>
      <c r="N53" s="35" t="s">
        <v>1127</v>
      </c>
      <c r="O53" s="35" t="s">
        <v>1129</v>
      </c>
      <c r="P53" s="35" t="s">
        <v>1128</v>
      </c>
      <c r="Q53" s="35" t="s">
        <v>1130</v>
      </c>
      <c r="S53" t="str">
        <f>WarningConfig!B102</f>
        <v>FuelLowWrn</v>
      </c>
      <c r="T53" t="str">
        <f>WarningConfig!K102</f>
        <v>请添加燃油</v>
      </c>
      <c r="U53" t="str">
        <f>VLOOKUP(T53,UEInput!I:N,2,0)</f>
        <v>Fuel Low</v>
      </c>
      <c r="V53" t="str">
        <f>VLOOKUP(T53,UEInput!I:N,3,0)</f>
        <v>Заправляйте топливом</v>
      </c>
      <c r="W53" t="str">
        <f>VLOOKUP(T53,UEInput!I:N,5,0)</f>
        <v>يرجي إضافة الوقود</v>
      </c>
      <c r="X53" t="str">
        <f>VLOOKUP(T53,UEInput!I:N,4,0)</f>
        <v>سوخت کم است</v>
      </c>
      <c r="Y53" t="str">
        <f>VLOOKUP(T53,UEInput!I:N,6,0)</f>
        <v>Por favor rellene el combustible</v>
      </c>
    </row>
    <row r="54" spans="1:25">
      <c r="A54" s="14"/>
      <c r="B54" s="34" t="str">
        <f>WarningConfig!O103</f>
        <v>Wrn_TiredRemindWrn</v>
      </c>
      <c r="C54" s="34" t="s">
        <v>597</v>
      </c>
      <c r="D54" s="34" t="s">
        <v>1030</v>
      </c>
      <c r="E54" s="34" t="s">
        <v>1111</v>
      </c>
      <c r="F54" s="34" t="s">
        <v>1112</v>
      </c>
      <c r="G54" s="34" t="s">
        <v>1113</v>
      </c>
      <c r="H54" s="34" t="s">
        <v>1114</v>
      </c>
      <c r="J54" s="14"/>
      <c r="K54" s="34" t="str">
        <f>WarningConfig!P103</f>
        <v>WrnList_TiredRemindWrn</v>
      </c>
      <c r="L54" s="35" t="s">
        <v>597</v>
      </c>
      <c r="M54" s="35" t="s">
        <v>1064</v>
      </c>
      <c r="N54" s="35" t="s">
        <v>1111</v>
      </c>
      <c r="O54" s="35" t="s">
        <v>1113</v>
      </c>
      <c r="P54" s="35" t="s">
        <v>1112</v>
      </c>
      <c r="Q54" s="35" t="s">
        <v>1114</v>
      </c>
      <c r="S54" t="str">
        <f>WarningConfig!B103</f>
        <v>TiredRemindWrn</v>
      </c>
      <c r="T54" t="str">
        <f>WarningConfig!K103</f>
        <v>请注意休息</v>
      </c>
      <c r="U54" t="str">
        <f>VLOOKUP(T54,UEInput!I:N,2,0)</f>
        <v>Please Note The Rest</v>
      </c>
      <c r="V54" t="str">
        <f>VLOOKUP(T54,UEInput!I:N,3,0)</f>
        <v>Отдыхайте!</v>
      </c>
      <c r="W54" t="str">
        <f>VLOOKUP(T54,UEInput!I:N,5,0)</f>
        <v>يرجى الانتباه إلى الراحة</v>
      </c>
      <c r="X54" t="str">
        <f>VLOOKUP(T54,UEInput!I:N,4,0)</f>
        <v>استراحت کنید</v>
      </c>
      <c r="Y54" t="str">
        <f>VLOOKUP(T54,UEInput!I:N,6,0)</f>
        <v>Por favor, tenga en cuenta descansar</v>
      </c>
    </row>
    <row r="55" spans="1:25">
      <c r="A55" s="14"/>
      <c r="B55" s="34" t="str">
        <f>WarningConfig!O104</f>
        <v>Wrn_ESPModeSwitchFail</v>
      </c>
      <c r="C55" s="34" t="s">
        <v>1020</v>
      </c>
      <c r="D55" s="34" t="s">
        <v>1076</v>
      </c>
      <c r="E55" s="34" t="s">
        <v>473</v>
      </c>
      <c r="F55" s="34" t="s">
        <v>473</v>
      </c>
      <c r="G55" s="34" t="s">
        <v>473</v>
      </c>
      <c r="H55" s="34" t="s">
        <v>473</v>
      </c>
      <c r="J55" s="14"/>
      <c r="K55" s="34" t="str">
        <f>WarningConfig!P104</f>
        <v>WrnList_ESPModeSwitchFail</v>
      </c>
      <c r="L55" s="35" t="s">
        <v>1049</v>
      </c>
      <c r="M55" s="35" t="s">
        <v>1065</v>
      </c>
      <c r="N55" s="35" t="s">
        <v>473</v>
      </c>
      <c r="O55" s="35" t="s">
        <v>473</v>
      </c>
      <c r="P55" s="35" t="s">
        <v>473</v>
      </c>
      <c r="Q55" s="35" t="s">
        <v>473</v>
      </c>
      <c r="S55" t="str">
        <f>WarningConfig!B104</f>
        <v>ESPModeSwitchFail</v>
      </c>
      <c r="T55" t="str">
        <f>WarningConfig!K104</f>
        <v>EPS条件不满足，模式切换失败</v>
      </c>
      <c r="U55" t="str">
        <f>VLOOKUP(T55,UEInput!I:N,2,0)</f>
        <v>EPS inhibit, mode change failure</v>
      </c>
      <c r="V55" t="str">
        <f>VLOOKUP(T55,UEInput!I:N,3,0)</f>
        <v>NA</v>
      </c>
      <c r="W55" t="str">
        <f>VLOOKUP(T55,UEInput!I:N,5,0)</f>
        <v>NA</v>
      </c>
      <c r="X55" t="str">
        <f>VLOOKUP(T55,UEInput!I:N,4,0)</f>
        <v>NA</v>
      </c>
      <c r="Y55" t="str">
        <f>VLOOKUP(T55,UEInput!I:N,6,0)</f>
        <v>NA</v>
      </c>
    </row>
    <row r="56" spans="1:25">
      <c r="A56" s="14"/>
      <c r="B56" s="34" t="str">
        <f>WarningConfig!O105</f>
        <v>Wrn_ESCLUnlockFailWrn</v>
      </c>
      <c r="C56" s="34" t="s">
        <v>484</v>
      </c>
      <c r="D56" s="34" t="s">
        <v>1077</v>
      </c>
      <c r="E56" s="34" t="s">
        <v>1319</v>
      </c>
      <c r="F56" s="34" t="s">
        <v>1320</v>
      </c>
      <c r="G56" s="34" t="s">
        <v>1321</v>
      </c>
      <c r="H56" s="34" t="s">
        <v>1322</v>
      </c>
      <c r="J56" s="14"/>
      <c r="K56" s="34" t="str">
        <f>WarningConfig!P105</f>
        <v>WrnList_ESCLUnlockFailWrn</v>
      </c>
      <c r="L56" s="35" t="s">
        <v>1050</v>
      </c>
      <c r="M56" s="35" t="s">
        <v>1066</v>
      </c>
      <c r="N56" s="35" t="s">
        <v>1319</v>
      </c>
      <c r="O56" s="35" t="s">
        <v>1321</v>
      </c>
      <c r="P56" s="35" t="s">
        <v>1320</v>
      </c>
      <c r="Q56" s="35" t="s">
        <v>1322</v>
      </c>
      <c r="S56" t="str">
        <f>WarningConfig!B105</f>
        <v>ESCLUnlockFailWrn</v>
      </c>
      <c r="T56" t="str">
        <f>WarningConfig!K105</f>
        <v>转向锁卡滞，请转动方向盘</v>
      </c>
      <c r="U56" t="str">
        <f>VLOOKUP(T56,UEInput!I:N,2,0)</f>
        <v>Steering Column Stuck,Turn Steering Wheel</v>
      </c>
      <c r="V56" t="str">
        <f>VLOOKUP(T56,UEInput!I:N,3,0)</f>
        <v>Заедание замка поворота колеса, поверните руль</v>
      </c>
      <c r="W56" t="str">
        <f>VLOOKUP(T56,UEInput!I:N,5,0)</f>
        <v>انسداد قفل التوجيه، ويرجي دوران عجلة القيادة</v>
      </c>
      <c r="X56" t="str">
        <f>VLOOKUP(T56,UEInput!I:N,4,0)</f>
        <v>قفل فرمان گیر کرده است. عربیلک فرمان را بچرخانید</v>
      </c>
      <c r="Y56" t="str">
        <f>VLOOKUP(T56,UEInput!I:N,6,0)</f>
        <v>Atasco de cerradura de dirección, por favor rota el volante</v>
      </c>
    </row>
    <row r="57" spans="1:25">
      <c r="A57" s="14"/>
      <c r="B57" s="34" t="str">
        <f>WarningConfig!O106</f>
        <v>Wrn_ESCLLockFailWrn</v>
      </c>
      <c r="C57" s="34" t="s">
        <v>479</v>
      </c>
      <c r="D57" s="34" t="s">
        <v>1078</v>
      </c>
      <c r="E57" s="34" t="s">
        <v>1323</v>
      </c>
      <c r="F57" s="34" t="s">
        <v>1324</v>
      </c>
      <c r="G57" s="34" t="s">
        <v>1325</v>
      </c>
      <c r="H57" s="34" t="s">
        <v>1326</v>
      </c>
      <c r="J57" s="14"/>
      <c r="K57" s="34" t="str">
        <f>WarningConfig!P106</f>
        <v>WrnList_ESCLLockFailWrn</v>
      </c>
      <c r="L57" s="35" t="s">
        <v>479</v>
      </c>
      <c r="M57" s="35" t="s">
        <v>1066</v>
      </c>
      <c r="N57" s="35" t="s">
        <v>1323</v>
      </c>
      <c r="O57" s="35" t="s">
        <v>1325</v>
      </c>
      <c r="P57" s="35" t="s">
        <v>1324</v>
      </c>
      <c r="Q57" s="35" t="s">
        <v>1326</v>
      </c>
      <c r="S57" t="str">
        <f>WarningConfig!B106</f>
        <v>ESCLLockFailWrn</v>
      </c>
      <c r="T57" t="str">
        <f>WarningConfig!K106</f>
        <v>转向锁上锁失败</v>
      </c>
      <c r="U57" t="str">
        <f>VLOOKUP(T57,UEInput!I:N,2,0)</f>
        <v>Steering Column Lock Failure</v>
      </c>
      <c r="V57" t="str">
        <f>VLOOKUP(T57,UEInput!I:N,3,0)</f>
        <v>Провал блокировки замка поворота колеса</v>
      </c>
      <c r="W57" t="str">
        <f>VLOOKUP(T57,UEInput!I:N,5,0)</f>
        <v>فشل تشغيل قفل التوجيه</v>
      </c>
      <c r="X57" t="str">
        <f>VLOOKUP(T57,UEInput!I:N,4,0)</f>
        <v>قفل فرمان قفل نشد.</v>
      </c>
      <c r="Y57" t="str">
        <f>VLOOKUP(T57,UEInput!I:N,6,0)</f>
        <v>Fallo en bloqueo de la cerradura de dirección</v>
      </c>
    </row>
    <row r="58" spans="1:25">
      <c r="A58" s="14"/>
      <c r="B58" s="34" t="str">
        <f>WarningConfig!O107</f>
        <v>Wrn_ESCLAuthFailWrn</v>
      </c>
      <c r="C58" s="34" t="s">
        <v>474</v>
      </c>
      <c r="D58" s="34" t="s">
        <v>1079</v>
      </c>
      <c r="E58" s="34" t="s">
        <v>1355</v>
      </c>
      <c r="F58" s="34" t="s">
        <v>1356</v>
      </c>
      <c r="G58" s="34" t="s">
        <v>1357</v>
      </c>
      <c r="H58" s="34" t="s">
        <v>1358</v>
      </c>
      <c r="J58" s="14"/>
      <c r="K58" s="34" t="str">
        <f>WarningConfig!P107</f>
        <v>WrnList_ESCLAuthFailWrn</v>
      </c>
      <c r="L58" s="35" t="s">
        <v>474</v>
      </c>
      <c r="M58" s="35" t="s">
        <v>1066</v>
      </c>
      <c r="N58" s="35" t="s">
        <v>1355</v>
      </c>
      <c r="O58" s="35" t="s">
        <v>1357</v>
      </c>
      <c r="P58" s="35" t="s">
        <v>1356</v>
      </c>
      <c r="Q58" s="35" t="s">
        <v>1358</v>
      </c>
      <c r="S58" t="str">
        <f>WarningConfig!B107</f>
        <v>ESCLAuthFailWrn</v>
      </c>
      <c r="T58" t="str">
        <f>WarningConfig!K107</f>
        <v>转向锁认证失败</v>
      </c>
      <c r="U58" t="str">
        <f>VLOOKUP(T58,UEInput!I:N,2,0)</f>
        <v>Steering Column Authentication Failure</v>
      </c>
      <c r="V58" t="str">
        <f>VLOOKUP(T58,UEInput!I:N,3,0)</f>
        <v>Провал проверки блокировки замка поворота колеса</v>
      </c>
      <c r="W58" t="str">
        <f>VLOOKUP(T58,UEInput!I:N,5,0)</f>
        <v>فشل مصادقة قفل التوجيه</v>
      </c>
      <c r="X58" t="str">
        <f>VLOOKUP(T58,UEInput!I:N,4,0)</f>
        <v>قفل فرمان تایید نشد</v>
      </c>
      <c r="Y58" t="str">
        <f>VLOOKUP(T58,UEInput!I:N,6,0)</f>
        <v>Fallo en la autenticación de bloqueo de dirección</v>
      </c>
    </row>
    <row r="59" spans="1:25">
      <c r="A59" s="14"/>
      <c r="B59" s="34" t="str">
        <f>WarningConfig!O108</f>
        <v>Wrn_ESCLSysErrorWrn</v>
      </c>
      <c r="C59" s="34" t="s">
        <v>483</v>
      </c>
      <c r="D59" s="34" t="s">
        <v>1078</v>
      </c>
      <c r="E59" s="34" t="s">
        <v>1315</v>
      </c>
      <c r="F59" s="34" t="s">
        <v>1316</v>
      </c>
      <c r="G59" s="34" t="s">
        <v>1317</v>
      </c>
      <c r="H59" s="34" t="s">
        <v>1318</v>
      </c>
      <c r="J59" s="14"/>
      <c r="K59" s="34" t="str">
        <f>WarningConfig!P108</f>
        <v>WrnList_ESCLSysErrorWrn</v>
      </c>
      <c r="L59" s="35" t="s">
        <v>483</v>
      </c>
      <c r="M59" s="35" t="s">
        <v>1066</v>
      </c>
      <c r="N59" s="35" t="s">
        <v>1315</v>
      </c>
      <c r="O59" s="35" t="s">
        <v>1317</v>
      </c>
      <c r="P59" s="35" t="s">
        <v>1316</v>
      </c>
      <c r="Q59" s="35" t="s">
        <v>1318</v>
      </c>
      <c r="S59" t="str">
        <f>WarningConfig!B108</f>
        <v>ESCLSysErrorWrn</v>
      </c>
      <c r="T59" t="str">
        <f>WarningConfig!K108</f>
        <v>转向锁系统故障</v>
      </c>
      <c r="U59" t="str">
        <f>VLOOKUP(T59,UEInput!I:N,2,0)</f>
        <v>Steering Column Lock Failure</v>
      </c>
      <c r="V59" t="str">
        <f>VLOOKUP(T59,UEInput!I:N,3,0)</f>
        <v>Отказ системы блокировки руля</v>
      </c>
      <c r="W59" t="str">
        <f>VLOOKUP(T59,UEInput!I:N,5,0)</f>
        <v>فشل نظام قفل التوجيه</v>
      </c>
      <c r="X59" t="str">
        <f>VLOOKUP(T59,UEInput!I:N,4,0)</f>
        <v>نقص قفل فرمان</v>
      </c>
      <c r="Y59" t="str">
        <f>VLOOKUP(T59,UEInput!I:N,6,0)</f>
        <v>Avería del sistema de cerradura de dirección</v>
      </c>
    </row>
    <row r="60" spans="1:25">
      <c r="A60" s="14"/>
      <c r="B60" s="34" t="str">
        <f>WarningConfig!O109</f>
        <v>Wrn_ESCLVolLowWrn</v>
      </c>
      <c r="C60" s="34" t="s">
        <v>553</v>
      </c>
      <c r="D60" s="34" t="s">
        <v>1036</v>
      </c>
      <c r="E60" s="34" t="s">
        <v>1327</v>
      </c>
      <c r="F60" s="34" t="s">
        <v>1328</v>
      </c>
      <c r="G60" s="34" t="s">
        <v>1329</v>
      </c>
      <c r="H60" s="34" t="s">
        <v>1330</v>
      </c>
      <c r="J60" s="14"/>
      <c r="K60" s="34" t="str">
        <f>WarningConfig!P109</f>
        <v>WrnList_ESCLVolLowWrn</v>
      </c>
      <c r="L60" s="35" t="s">
        <v>553</v>
      </c>
      <c r="M60" s="35" t="s">
        <v>1066</v>
      </c>
      <c r="N60" s="35" t="s">
        <v>1327</v>
      </c>
      <c r="O60" s="35" t="s">
        <v>1329</v>
      </c>
      <c r="P60" s="35" t="s">
        <v>1328</v>
      </c>
      <c r="Q60" s="35" t="s">
        <v>1330</v>
      </c>
      <c r="S60" t="str">
        <f>WarningConfig!B109</f>
        <v>ESCLVolLowWrn</v>
      </c>
      <c r="T60" t="str">
        <f>WarningConfig!K109</f>
        <v>转向锁工作电压低</v>
      </c>
      <c r="U60" t="str">
        <f>VLOOKUP(T60,UEInput!I:N,2,0)</f>
        <v>Steering Column Voltage Low</v>
      </c>
      <c r="V60" t="str">
        <f>VLOOKUP(T60,UEInput!I:N,3,0)</f>
        <v>Недонапряжение работы блокировки замка поворота колеса</v>
      </c>
      <c r="W60" t="str">
        <f>VLOOKUP(T60,UEInput!I:N,5,0)</f>
        <v>جهد تشغيل قفل التوجيه منخفض</v>
      </c>
      <c r="X60" t="str">
        <f>VLOOKUP(T60,UEInput!I:N,4,0)</f>
        <v>ولتاژ کار قفل فرمان بسیار پایین است</v>
      </c>
      <c r="Y60" t="str">
        <f>VLOOKUP(T60,UEInput!I:N,6,0)</f>
        <v>Bajo voltaje de funcionamiento de bloqueo de dirección</v>
      </c>
    </row>
    <row r="61" spans="1:25">
      <c r="A61" s="14"/>
      <c r="B61" s="34" t="str">
        <f>WarningConfig!O110</f>
        <v>Wrn_ESCLVolHighWrn</v>
      </c>
      <c r="C61" s="34" t="s">
        <v>552</v>
      </c>
      <c r="D61" s="34" t="s">
        <v>1080</v>
      </c>
      <c r="E61" s="34" t="s">
        <v>1331</v>
      </c>
      <c r="F61" s="34" t="s">
        <v>1332</v>
      </c>
      <c r="G61" s="34" t="s">
        <v>1333</v>
      </c>
      <c r="H61" s="34" t="s">
        <v>1334</v>
      </c>
      <c r="J61" s="14"/>
      <c r="K61" s="34" t="str">
        <f>WarningConfig!P110</f>
        <v>WrnList_ESCLVolHighWrn</v>
      </c>
      <c r="L61" s="35" t="s">
        <v>552</v>
      </c>
      <c r="M61" s="35" t="s">
        <v>1066</v>
      </c>
      <c r="N61" s="35" t="s">
        <v>1331</v>
      </c>
      <c r="O61" s="35" t="s">
        <v>1333</v>
      </c>
      <c r="P61" s="35" t="s">
        <v>1332</v>
      </c>
      <c r="Q61" s="35" t="s">
        <v>1334</v>
      </c>
      <c r="S61" t="str">
        <f>WarningConfig!B110</f>
        <v>ESCLVolHighWrn</v>
      </c>
      <c r="T61" t="str">
        <f>WarningConfig!K110</f>
        <v>转向锁工作电压高</v>
      </c>
      <c r="U61" t="str">
        <f>VLOOKUP(T61,UEInput!I:N,2,0)</f>
        <v>Steering Column Voltage High</v>
      </c>
      <c r="V61" t="str">
        <f>VLOOKUP(T61,UEInput!I:N,3,0)</f>
        <v>Перенапряжение работы блокировки замка поворота колеса</v>
      </c>
      <c r="W61" t="str">
        <f>VLOOKUP(T61,UEInput!I:N,5,0)</f>
        <v>جهد تشغيل قفل التوجيه مرتفع</v>
      </c>
      <c r="X61" t="str">
        <f>VLOOKUP(T61,UEInput!I:N,4,0)</f>
        <v>ولتاژ کار قفل فرمان بسیار بالا است</v>
      </c>
      <c r="Y61" t="str">
        <f>VLOOKUP(T61,UEInput!I:N,6,0)</f>
        <v>Alto voltaje de funcionamiento de bloqueo de dirección</v>
      </c>
    </row>
    <row r="62" spans="1:25">
      <c r="A62" s="14"/>
      <c r="B62" s="34" t="str">
        <f>WarningConfig!O111</f>
        <v>Wrn_KeyNotFoundWrn</v>
      </c>
      <c r="C62" s="34" t="s">
        <v>480</v>
      </c>
      <c r="D62" s="34" t="s">
        <v>557</v>
      </c>
      <c r="E62" s="34" t="s">
        <v>1291</v>
      </c>
      <c r="F62" s="34" t="s">
        <v>1292</v>
      </c>
      <c r="G62" s="34" t="s">
        <v>1293</v>
      </c>
      <c r="H62" s="34" t="s">
        <v>1294</v>
      </c>
      <c r="J62" s="14"/>
      <c r="K62" s="34" t="str">
        <f>WarningConfig!P111</f>
        <v>WrnList_KeyNotFoundWrn</v>
      </c>
      <c r="L62" s="35" t="s">
        <v>480</v>
      </c>
      <c r="M62" s="35" t="s">
        <v>557</v>
      </c>
      <c r="N62" s="35" t="s">
        <v>1291</v>
      </c>
      <c r="O62" s="35" t="s">
        <v>1293</v>
      </c>
      <c r="P62" s="35" t="s">
        <v>1292</v>
      </c>
      <c r="Q62" s="35" t="s">
        <v>1294</v>
      </c>
      <c r="S62" t="str">
        <f>WarningConfig!B111</f>
        <v>KeyNotFoundWrn</v>
      </c>
      <c r="T62" t="str">
        <f>WarningConfig!K111</f>
        <v>未检测到钥匙</v>
      </c>
      <c r="U62" t="str">
        <f>VLOOKUP(T62,UEInput!I:N,2,0)</f>
        <v>Key Not Found</v>
      </c>
      <c r="V62" t="str">
        <f>VLOOKUP(T62,UEInput!I:N,3,0)</f>
        <v>Не детектирован ключ</v>
      </c>
      <c r="W62" t="str">
        <f>VLOOKUP(T62,UEInput!I:N,5,0)</f>
        <v>لم يتم الكشف عن المفتاح</v>
      </c>
      <c r="X62" t="str">
        <f>VLOOKUP(T62,UEInput!I:N,4,0)</f>
        <v>کلید شناسایی نشد</v>
      </c>
      <c r="Y62" t="str">
        <f>VLOOKUP(T62,UEInput!I:N,6,0)</f>
        <v>La llave no se detecta</v>
      </c>
    </row>
    <row r="63" spans="1:25">
      <c r="A63" s="14"/>
      <c r="B63" s="34" t="str">
        <f>WarningConfig!O112</f>
        <v>Wrn_KeyCloserWrn</v>
      </c>
      <c r="C63" s="34" t="s">
        <v>634</v>
      </c>
      <c r="D63" s="34" t="s">
        <v>555</v>
      </c>
      <c r="E63" s="34" t="s">
        <v>1303</v>
      </c>
      <c r="F63" s="34" t="s">
        <v>1304</v>
      </c>
      <c r="G63" s="34" t="s">
        <v>1305</v>
      </c>
      <c r="H63" s="34" t="s">
        <v>1306</v>
      </c>
      <c r="J63" s="14"/>
      <c r="K63" s="34" t="str">
        <f>WarningConfig!P112</f>
        <v>WrnList_KeyCloserWrn</v>
      </c>
      <c r="L63" s="35" t="s">
        <v>1051</v>
      </c>
      <c r="M63" s="35" t="s">
        <v>730</v>
      </c>
      <c r="N63" s="35" t="s">
        <v>1303</v>
      </c>
      <c r="O63" s="35" t="s">
        <v>1305</v>
      </c>
      <c r="P63" s="35" t="s">
        <v>1304</v>
      </c>
      <c r="Q63" s="35" t="s">
        <v>1306</v>
      </c>
      <c r="S63" t="str">
        <f>WarningConfig!B112</f>
        <v>KeyCloserWrn</v>
      </c>
      <c r="T63" t="str">
        <f>WarningConfig!K112</f>
        <v>请将钥匙靠近杯托启动</v>
      </c>
      <c r="U63" t="str">
        <f>VLOOKUP(T63,UEInput!I:N,2,0)</f>
        <v>Close Key to Starter Button</v>
      </c>
      <c r="V63" t="str">
        <f>VLOOKUP(T63,UEInput!I:N,3,0)</f>
        <v>Поставите ключ ближе к подстаканнику для запуска двигателя</v>
      </c>
      <c r="W63" t="str">
        <f>VLOOKUP(T63,UEInput!I:N,5,0)</f>
        <v>يرجى قرب المفتاح من حامل الكأس لبدء التشغيل</v>
      </c>
      <c r="X63" t="str">
        <f>VLOOKUP(T63,UEInput!I:N,4,0)</f>
        <v>برای استارت کلید را نزدیک به جالیوانی قرار دهید</v>
      </c>
      <c r="Y63" t="str">
        <f>VLOOKUP(T63,UEInput!I:N,6,0)</f>
        <v>Por favor acerque la llave al soporte de vaso para iniciar</v>
      </c>
    </row>
    <row r="64" spans="1:25">
      <c r="A64" s="14"/>
      <c r="B64" s="34" t="str">
        <f>WarningConfig!O113</f>
        <v>Wrn_IMMOFailWrn</v>
      </c>
      <c r="C64" s="34" t="s">
        <v>481</v>
      </c>
      <c r="D64" s="34" t="s">
        <v>556</v>
      </c>
      <c r="E64" s="34" t="s">
        <v>1299</v>
      </c>
      <c r="F64" s="34" t="s">
        <v>1300</v>
      </c>
      <c r="G64" s="34" t="s">
        <v>1301</v>
      </c>
      <c r="H64" s="34" t="s">
        <v>1302</v>
      </c>
      <c r="J64" s="14"/>
      <c r="K64" s="34" t="str">
        <f>WarningConfig!P113</f>
        <v>WrnList_IMMOFailWrn</v>
      </c>
      <c r="L64" s="35" t="s">
        <v>481</v>
      </c>
      <c r="M64" s="35" t="s">
        <v>556</v>
      </c>
      <c r="N64" s="35" t="s">
        <v>1299</v>
      </c>
      <c r="O64" s="35" t="s">
        <v>1301</v>
      </c>
      <c r="P64" s="35" t="s">
        <v>1300</v>
      </c>
      <c r="Q64" s="35" t="s">
        <v>1302</v>
      </c>
      <c r="S64" t="str">
        <f>WarningConfig!B113</f>
        <v>IMMOFailWrn</v>
      </c>
      <c r="T64" t="str">
        <f>WarningConfig!K113</f>
        <v>防盗认证失败</v>
      </c>
      <c r="U64" t="str">
        <f>VLOOKUP(T64,UEInput!I:N,2,0)</f>
        <v>IMMO Failure</v>
      </c>
      <c r="V64" t="str">
        <f>VLOOKUP(T64,UEInput!I:N,3,0)</f>
        <v>Провал антиугонной проверки</v>
      </c>
      <c r="W64" t="str">
        <f>VLOOKUP(T64,UEInput!I:N,5,0)</f>
        <v>فشل مصادقة مكافحة السرقة</v>
      </c>
      <c r="X64" t="str">
        <f>VLOOKUP(T64,UEInput!I:N,4,0)</f>
        <v>هویت قبول نشد</v>
      </c>
      <c r="Y64" t="str">
        <f>VLOOKUP(T64,UEInput!I:N,6,0)</f>
        <v>Fallo en la autenticación de antirrobo</v>
      </c>
    </row>
    <row r="65" spans="1:25">
      <c r="A65" s="14"/>
      <c r="B65" s="34" t="str">
        <f>WarningConfig!O114</f>
        <v>Wrn_EngForbidWrn</v>
      </c>
      <c r="C65" s="34" t="s">
        <v>635</v>
      </c>
      <c r="D65" s="34" t="s">
        <v>548</v>
      </c>
      <c r="E65" s="34" t="s">
        <v>1351</v>
      </c>
      <c r="F65" s="34" t="s">
        <v>1352</v>
      </c>
      <c r="G65" s="34" t="s">
        <v>1353</v>
      </c>
      <c r="H65" s="34" t="s">
        <v>1354</v>
      </c>
      <c r="J65" s="14"/>
      <c r="K65" s="34" t="str">
        <f>WarningConfig!P114</f>
        <v>WrnList_EngForbidWrn</v>
      </c>
      <c r="L65" s="35" t="s">
        <v>635</v>
      </c>
      <c r="M65" s="35" t="s">
        <v>770</v>
      </c>
      <c r="N65" s="35" t="s">
        <v>1351</v>
      </c>
      <c r="O65" s="35" t="s">
        <v>1353</v>
      </c>
      <c r="P65" s="35" t="s">
        <v>1352</v>
      </c>
      <c r="Q65" s="35" t="s">
        <v>1354</v>
      </c>
      <c r="S65" t="str">
        <f>WarningConfig!B114</f>
        <v>EngForbidWrn</v>
      </c>
      <c r="T65" t="str">
        <f>WarningConfig!K114</f>
        <v>发动机禁止启动</v>
      </c>
      <c r="U65" t="str">
        <f>VLOOKUP(T65,UEInput!I:N,2,0)</f>
        <v>Engine Start Forbid</v>
      </c>
      <c r="V65" t="str">
        <f>VLOOKUP(T65,UEInput!I:N,3,0)</f>
        <v>Запрет на запуск двигателя</v>
      </c>
      <c r="W65" t="str">
        <f>VLOOKUP(T65,UEInput!I:N,5,0)</f>
        <v>منع بدء تشغيل المحرك</v>
      </c>
      <c r="X65" t="str">
        <f>VLOOKUP(T65,UEInput!I:N,4,0)</f>
        <v>استارت کردن موتور ممنوع است</v>
      </c>
      <c r="Y65" t="str">
        <f>VLOOKUP(T65,UEInput!I:N,6,0)</f>
        <v>El motor está prohibido el arranque</v>
      </c>
    </row>
    <row r="66" spans="1:25">
      <c r="A66" s="14"/>
      <c r="B66" s="34" t="str">
        <f>WarningConfig!O115</f>
        <v>Wrn_PressBrakeToStartWrn</v>
      </c>
      <c r="C66" s="34" t="s">
        <v>325</v>
      </c>
      <c r="D66" s="34" t="s">
        <v>576</v>
      </c>
      <c r="E66" s="34" t="s">
        <v>1339</v>
      </c>
      <c r="F66" s="34" t="s">
        <v>1340</v>
      </c>
      <c r="G66" s="34" t="s">
        <v>1341</v>
      </c>
      <c r="H66" s="34" t="s">
        <v>1342</v>
      </c>
      <c r="J66" s="14"/>
      <c r="K66" s="34" t="str">
        <f>WarningConfig!P115</f>
        <v>WrnList_PressBrakeToStartWrn</v>
      </c>
      <c r="L66" s="35" t="s">
        <v>325</v>
      </c>
      <c r="M66" s="35" t="s">
        <v>576</v>
      </c>
      <c r="N66" s="35" t="s">
        <v>1339</v>
      </c>
      <c r="O66" s="35" t="s">
        <v>1341</v>
      </c>
      <c r="P66" s="35" t="s">
        <v>1340</v>
      </c>
      <c r="Q66" s="35" t="s">
        <v>1342</v>
      </c>
      <c r="S66" t="str">
        <f>WarningConfig!B115</f>
        <v>PressBrakeToStartWrn</v>
      </c>
      <c r="T66" t="str">
        <f>WarningConfig!K115</f>
        <v>请踩刹车启动</v>
      </c>
      <c r="U66" t="str">
        <f>VLOOKUP(T66,UEInput!I:N,2,0)</f>
        <v>Press Brake</v>
      </c>
      <c r="V66" t="str">
        <f>VLOOKUP(T66,UEInput!I:N,3,0)</f>
        <v>Нажмите на педаль тормоза (или педаль сцепления) для запуска двигателя</v>
      </c>
      <c r="W66" t="str">
        <f>VLOOKUP(T66,UEInput!I:N,5,0)</f>
        <v>يرجى الدوس علي الفرامل (أو القابض) لبدء التشغيل</v>
      </c>
      <c r="X66" t="str">
        <f>VLOOKUP(T66,UEInput!I:N,4,0)</f>
        <v>برای استارت لطفا پدال ترمز (یا کلاچ) را فشار دهید</v>
      </c>
      <c r="Y66" t="str">
        <f>VLOOKUP(T66,UEInput!I:N,6,0)</f>
        <v>Por favor pise el pedal del freno (embrague) para iniciar</v>
      </c>
    </row>
    <row r="67" spans="1:25">
      <c r="A67" s="14"/>
      <c r="B67" s="34" t="str">
        <f>WarningConfig!O116</f>
        <v>Wrn_ShiftPNToStartWrn</v>
      </c>
      <c r="C67" s="34" t="s">
        <v>1087</v>
      </c>
      <c r="D67" s="34" t="s">
        <v>550</v>
      </c>
      <c r="E67" s="34" t="s">
        <v>1343</v>
      </c>
      <c r="F67" s="34" t="s">
        <v>1344</v>
      </c>
      <c r="G67" s="34" t="s">
        <v>1345</v>
      </c>
      <c r="H67" s="34" t="s">
        <v>1346</v>
      </c>
      <c r="J67" s="14"/>
      <c r="K67" s="34" t="str">
        <f>WarningConfig!P116</f>
        <v>WrnList_ShiftPNToStartWrn</v>
      </c>
      <c r="L67" s="35" t="s">
        <v>1087</v>
      </c>
      <c r="M67" s="35" t="s">
        <v>550</v>
      </c>
      <c r="N67" s="35" t="s">
        <v>1343</v>
      </c>
      <c r="O67" s="35" t="s">
        <v>1345</v>
      </c>
      <c r="P67" s="35" t="s">
        <v>1344</v>
      </c>
      <c r="Q67" s="35" t="s">
        <v>1346</v>
      </c>
      <c r="S67" t="str">
        <f>WarningConfig!B116</f>
        <v>ShiftPNToStartWrn</v>
      </c>
      <c r="T67" t="str">
        <f>WarningConfig!K116</f>
        <v>请挂入P挡或N挡启动</v>
      </c>
      <c r="U67" t="str">
        <f>VLOOKUP(T67,UEInput!I:N,2,0)</f>
        <v>Shift to P/N</v>
      </c>
      <c r="V67" t="str">
        <f>VLOOKUP(T67,UEInput!I:N,3,0)</f>
        <v>Включайте в передачу P или N для запуска двигателя</v>
      </c>
      <c r="W67" t="str">
        <f>VLOOKUP(T67,UEInput!I:N,5,0)</f>
        <v>يرجى التحويل الي وضع P أو وضع N لبدء التشغيل</v>
      </c>
      <c r="X67" t="str">
        <f>VLOOKUP(T67,UEInput!I:N,4,0)</f>
        <v>برای استارت لطفا دنده را در دنده P یا N قرار دهید</v>
      </c>
      <c r="Y67" t="str">
        <f>VLOOKUP(T67,UEInput!I:N,6,0)</f>
        <v>Por favor, marque la marcha P o N para iniciar</v>
      </c>
    </row>
    <row r="68" spans="1:25">
      <c r="A68" s="14"/>
      <c r="B68" s="34" t="str">
        <f>WarningConfig!O117</f>
        <v>Wrn_ShiftPToParkWrn</v>
      </c>
      <c r="C68" s="34" t="s">
        <v>482</v>
      </c>
      <c r="D68" s="34" t="s">
        <v>549</v>
      </c>
      <c r="E68" s="34" t="s">
        <v>1347</v>
      </c>
      <c r="F68" s="34" t="s">
        <v>1348</v>
      </c>
      <c r="G68" s="34" t="s">
        <v>1349</v>
      </c>
      <c r="H68" s="34" t="s">
        <v>1350</v>
      </c>
      <c r="J68" s="14"/>
      <c r="K68" s="34" t="str">
        <f>WarningConfig!P117</f>
        <v>WrnList_ShiftPToParkWrn</v>
      </c>
      <c r="L68" s="35" t="s">
        <v>1052</v>
      </c>
      <c r="M68" s="35" t="s">
        <v>731</v>
      </c>
      <c r="N68" s="35" t="s">
        <v>1347</v>
      </c>
      <c r="O68" s="35" t="s">
        <v>1349</v>
      </c>
      <c r="P68" s="35" t="s">
        <v>1348</v>
      </c>
      <c r="Q68" s="35" t="s">
        <v>1350</v>
      </c>
      <c r="S68" t="str">
        <f>WarningConfig!B117</f>
        <v>ShiftPToParkWrn</v>
      </c>
      <c r="T68" t="str">
        <f>WarningConfig!K117</f>
        <v>请重新上电，挂入P挡驻车</v>
      </c>
      <c r="U68" t="str">
        <f>VLOOKUP(T68,UEInput!I:N,2,0)</f>
        <v>Try IGN on and shift to P</v>
      </c>
      <c r="V68" t="str">
        <f>VLOOKUP(T68,UEInput!I:N,3,0)</f>
        <v>Включайте вновь АК, включайте в передачу Р стояночного тормоза</v>
      </c>
      <c r="W68" t="str">
        <f>VLOOKUP(T68,UEInput!I:N,5,0)</f>
        <v>يرجى إعادة التوصيل بالطاقة، ويرجي التحويل الي وضع P للوقوف</v>
      </c>
      <c r="X68" t="str">
        <f>VLOOKUP(T68,UEInput!I:N,4,0)</f>
        <v>لطفا مجددا روشن کرده و دنده را در دنده P قرار دهید</v>
      </c>
      <c r="Y68" t="str">
        <f>VLOOKUP(T68,UEInput!I:N,6,0)</f>
        <v>Por favor, energice de nuevo, marque la marcha P para estacionar</v>
      </c>
    </row>
    <row r="69" spans="1:25">
      <c r="A69" s="14"/>
      <c r="B69" s="34" t="str">
        <f>WarningConfig!O118</f>
        <v>Wrn_KeyBatteryLowWrn</v>
      </c>
      <c r="C69" s="34" t="s">
        <v>388</v>
      </c>
      <c r="D69" s="34" t="s">
        <v>544</v>
      </c>
      <c r="E69" s="34" t="s">
        <v>1295</v>
      </c>
      <c r="F69" s="34" t="s">
        <v>1296</v>
      </c>
      <c r="G69" s="34" t="s">
        <v>1297</v>
      </c>
      <c r="H69" s="34" t="s">
        <v>1298</v>
      </c>
      <c r="J69" s="14"/>
      <c r="K69" s="34" t="str">
        <f>WarningConfig!P118</f>
        <v>WrnList_KeyBatteryLowWrn</v>
      </c>
      <c r="L69" s="35" t="s">
        <v>388</v>
      </c>
      <c r="M69" s="35" t="s">
        <v>544</v>
      </c>
      <c r="N69" s="35" t="s">
        <v>1295</v>
      </c>
      <c r="O69" s="35" t="s">
        <v>1297</v>
      </c>
      <c r="P69" s="35" t="s">
        <v>1296</v>
      </c>
      <c r="Q69" s="35" t="s">
        <v>1298</v>
      </c>
      <c r="S69" t="str">
        <f>WarningConfig!B118</f>
        <v>KeyBatteryLowWrn</v>
      </c>
      <c r="T69" t="str">
        <f>WarningConfig!K118</f>
        <v>钥匙电量低</v>
      </c>
      <c r="U69" t="str">
        <f>VLOOKUP(T69,UEInput!I:N,2,0)</f>
        <v>Key Battery Low</v>
      </c>
      <c r="V69" t="str">
        <f>VLOOKUP(T69,UEInput!I:N,3,0)</f>
        <v>Недонапряжение пульта управления</v>
      </c>
      <c r="W69" t="str">
        <f>VLOOKUP(T69,UEInput!I:N,5,0)</f>
        <v>طاقة بطارية المفتاح منخفضة</v>
      </c>
      <c r="X69" t="str">
        <f>VLOOKUP(T69,UEInput!I:N,4,0)</f>
        <v>شارژ کم باتری</v>
      </c>
      <c r="Y69" t="str">
        <f>VLOOKUP(T69,UEInput!I:N,6,0)</f>
        <v>Baja potencia de llave</v>
      </c>
    </row>
    <row r="70" spans="1:25">
      <c r="A70" s="14"/>
      <c r="B70" s="34" t="str">
        <f>WarningConfig!O119</f>
        <v>Wrn_PowerOnCntWrn</v>
      </c>
      <c r="C70" s="34" t="s">
        <v>742</v>
      </c>
      <c r="D70" s="46" t="s">
        <v>1082</v>
      </c>
      <c r="E70" s="46" t="s">
        <v>1307</v>
      </c>
      <c r="F70" s="46" t="s">
        <v>1308</v>
      </c>
      <c r="G70" s="46" t="s">
        <v>1309</v>
      </c>
      <c r="H70" s="46" t="s">
        <v>1310</v>
      </c>
      <c r="J70" s="14"/>
      <c r="K70" s="34" t="str">
        <f>WarningConfig!P119</f>
        <v>WrnList_PowerOnCntWrn</v>
      </c>
      <c r="L70" s="35" t="s">
        <v>1053</v>
      </c>
      <c r="M70" s="35" t="s">
        <v>752</v>
      </c>
      <c r="N70" s="35" t="s">
        <v>1307</v>
      </c>
      <c r="O70" s="35" t="s">
        <v>1309</v>
      </c>
      <c r="P70" s="35" t="s">
        <v>1308</v>
      </c>
      <c r="Q70" s="35" t="s">
        <v>1310</v>
      </c>
      <c r="S70" t="str">
        <f>WarningConfig!B119</f>
        <v>PowerOnCntWrn</v>
      </c>
      <c r="T70" t="str">
        <f>WarningConfig!K119</f>
        <v>系统故障，剩余可以启动 %0 次</v>
      </c>
      <c r="U70" t="str">
        <f>VLOOKUP(T70,UEInput!I:N,2,0)</f>
        <v>System failure, engine\nstart remain %0 times</v>
      </c>
      <c r="V70" t="str">
        <f>VLOOKUP(T70,UEInput!I:N,3,0)</f>
        <v>Сбой системы, возможность запуска - X-кратности</v>
      </c>
      <c r="W70" t="str">
        <f>VLOOKUP(T70,UEInput!I:N,5,0)</f>
        <v>فشل النظام، ويمكن بدء التشغيل X مرة</v>
      </c>
      <c r="X70" t="str">
        <f>VLOOKUP(T70,UEInput!I:N,4,0)</f>
        <v>نقص سیستم. برای X بار دیگر می توان خودرو را استارت کرد</v>
      </c>
      <c r="Y70" t="str">
        <f>VLOOKUP(T70,UEInput!I:N,6,0)</f>
        <v>Fallo del sistema, puede iniciarse X veces restantes</v>
      </c>
    </row>
    <row r="71" spans="1:25">
      <c r="A71" s="14"/>
      <c r="B71" s="34" t="str">
        <f>WarningConfig!O120</f>
        <v>Wrn_IGN1FailureWrn</v>
      </c>
      <c r="C71" s="34" t="s">
        <v>273</v>
      </c>
      <c r="D71" s="34" t="s">
        <v>554</v>
      </c>
      <c r="E71" s="34" t="s">
        <v>1311</v>
      </c>
      <c r="F71" s="34" t="s">
        <v>1312</v>
      </c>
      <c r="G71" s="34" t="s">
        <v>1313</v>
      </c>
      <c r="H71" s="34" t="s">
        <v>1314</v>
      </c>
      <c r="J71" s="14"/>
      <c r="K71" s="34" t="str">
        <f>WarningConfig!P120</f>
        <v>WrnList_IGN1FailureWrn</v>
      </c>
      <c r="L71" s="35" t="s">
        <v>1054</v>
      </c>
      <c r="M71" s="35" t="s">
        <v>554</v>
      </c>
      <c r="N71" s="35" t="s">
        <v>1311</v>
      </c>
      <c r="O71" s="35" t="s">
        <v>1313</v>
      </c>
      <c r="P71" s="35" t="s">
        <v>1312</v>
      </c>
      <c r="Q71" s="35" t="s">
        <v>1314</v>
      </c>
      <c r="S71" t="str">
        <f>WarningConfig!B120</f>
        <v>IGN1FailureWrn</v>
      </c>
      <c r="T71" t="str">
        <f>WarningConfig!K120</f>
        <v>IGN1继电器故障，需要维修</v>
      </c>
      <c r="U71" t="str">
        <f>VLOOKUP(T71,UEInput!I:N,2,0)</f>
        <v>IGN1 Relay Failue</v>
      </c>
      <c r="V71" t="str">
        <f>VLOOKUP(T71,UEInput!I:N,3,0)</f>
        <v>Отказ реле IGN1, сделайте ремонт</v>
      </c>
      <c r="W71" t="str">
        <f>VLOOKUP(T71,UEInput!I:N,5,0)</f>
        <v>فشل مرحل IGN1، ويحتاج الإصلاح</v>
      </c>
      <c r="X71" t="str">
        <f>VLOOKUP(T71,UEInput!I:N,4,0)</f>
        <v>رله IGN1 خراب است.</v>
      </c>
      <c r="Y71" t="str">
        <f>VLOOKUP(T71,UEInput!I:N,6,0)</f>
        <v>Fallo de relé IGN1, se requiere una reparación</v>
      </c>
    </row>
    <row r="72" spans="1:25">
      <c r="A72" s="14"/>
      <c r="B72" s="34" t="str">
        <f>WarningConfig!O121</f>
        <v>Wrn_SSBFailureWrn</v>
      </c>
      <c r="C72" s="34" t="s">
        <v>272</v>
      </c>
      <c r="D72" s="34" t="s">
        <v>551</v>
      </c>
      <c r="E72" s="34" t="s">
        <v>1335</v>
      </c>
      <c r="F72" s="34" t="s">
        <v>1336</v>
      </c>
      <c r="G72" s="34" t="s">
        <v>1337</v>
      </c>
      <c r="H72" s="34" t="s">
        <v>1338</v>
      </c>
      <c r="J72" s="14"/>
      <c r="K72" s="34" t="str">
        <f>WarningConfig!P121</f>
        <v>WrnList_SSBFailureWrn</v>
      </c>
      <c r="L72" s="35" t="s">
        <v>272</v>
      </c>
      <c r="M72" s="35" t="s">
        <v>771</v>
      </c>
      <c r="N72" s="35" t="s">
        <v>1335</v>
      </c>
      <c r="O72" s="35" t="s">
        <v>1337</v>
      </c>
      <c r="P72" s="35" t="s">
        <v>1336</v>
      </c>
      <c r="Q72" s="35" t="s">
        <v>1338</v>
      </c>
      <c r="S72" t="str">
        <f>WarningConfig!B121</f>
        <v>SSBFailureWrn</v>
      </c>
      <c r="T72" t="str">
        <f>WarningConfig!K121</f>
        <v>无钥匙启动系统故障</v>
      </c>
      <c r="U72" t="str">
        <f>VLOOKUP(T72,UEInput!I:N,2,0)</f>
        <v>PEPS Start Failure</v>
      </c>
      <c r="V72" t="str">
        <f>VLOOKUP(T72,UEInput!I:N,3,0)</f>
        <v>Сбой системы запуска без ключа</v>
      </c>
      <c r="W72" t="str">
        <f>VLOOKUP(T72,UEInput!I:N,5,0)</f>
        <v>فشل نظام التشغيل بدون مفتاح</v>
      </c>
      <c r="X72" t="str">
        <f>VLOOKUP(T72,UEInput!I:N,4,0)</f>
        <v>نقص سیستم دسترسی بدون کلید</v>
      </c>
      <c r="Y72" t="str">
        <f>VLOOKUP(T72,UEInput!I:N,6,0)</f>
        <v>Avería del sistema de arranque sin llave</v>
      </c>
    </row>
    <row r="73" spans="1:25">
      <c r="A73" s="14"/>
      <c r="B73" s="34" t="str">
        <f>WarningConfig!O122</f>
        <v>Wrn_EPBPressBreakWrn</v>
      </c>
      <c r="C73" s="34" t="s">
        <v>333</v>
      </c>
      <c r="D73" s="34" t="s">
        <v>571</v>
      </c>
      <c r="E73" s="34" t="s">
        <v>1235</v>
      </c>
      <c r="F73" s="34" t="s">
        <v>1236</v>
      </c>
      <c r="G73" s="34" t="s">
        <v>1237</v>
      </c>
      <c r="H73" s="34" t="s">
        <v>1238</v>
      </c>
      <c r="J73" s="14"/>
      <c r="K73" s="34" t="str">
        <f>WarningConfig!P122</f>
        <v>WrnList_EPBPressBreakWrn</v>
      </c>
      <c r="L73" s="35" t="s">
        <v>333</v>
      </c>
      <c r="M73" s="35" t="s">
        <v>772</v>
      </c>
      <c r="N73" s="35" t="s">
        <v>1235</v>
      </c>
      <c r="O73" s="35" t="s">
        <v>1237</v>
      </c>
      <c r="P73" s="35" t="s">
        <v>1236</v>
      </c>
      <c r="Q73" s="35" t="s">
        <v>1238</v>
      </c>
      <c r="S73" t="str">
        <f>WarningConfig!B122</f>
        <v>EPBPressBreakWrn</v>
      </c>
      <c r="T73" t="str">
        <f>WarningConfig!K122</f>
        <v>同时踩下制动踏板</v>
      </c>
      <c r="U73" t="str">
        <f>VLOOKUP(T73,UEInput!I:N,2,0)</f>
        <v>Please Press Brake Pedal</v>
      </c>
      <c r="V73" t="str">
        <f>VLOOKUP(T73,UEInput!I:N,3,0)</f>
        <v>Нажать одновременно педаль тормоза</v>
      </c>
      <c r="W73" t="str">
        <f>VLOOKUP(T73,UEInput!I:N,5,0)</f>
        <v>قم بالدوس على دواسة الفرامل في الوقت نفسه</v>
      </c>
      <c r="X73" t="str">
        <f>VLOOKUP(T73,UEInput!I:N,4,0)</f>
        <v>همزمان پدال ترمز را فشار دهید</v>
      </c>
      <c r="Y73" t="str">
        <f>VLOOKUP(T73,UEInput!I:N,6,0)</f>
        <v>Al mismo tiempo pise el pedal de freno</v>
      </c>
    </row>
    <row r="74" spans="1:25">
      <c r="A74" s="14"/>
      <c r="B74" s="34" t="str">
        <f>WarningConfig!O123</f>
        <v>Wrn_CloseDoorWithStbtWrn</v>
      </c>
      <c r="C74" s="34" t="s">
        <v>335</v>
      </c>
      <c r="D74" s="34" t="s">
        <v>723</v>
      </c>
      <c r="E74" s="34" t="s">
        <v>1255</v>
      </c>
      <c r="F74" s="34" t="s">
        <v>1256</v>
      </c>
      <c r="G74" s="34" t="s">
        <v>1257</v>
      </c>
      <c r="H74" s="34" t="s">
        <v>1258</v>
      </c>
      <c r="J74" s="14"/>
      <c r="K74" s="34" t="str">
        <f>WarningConfig!P123</f>
        <v>WrnList_CloseDoorWithStbtWrn</v>
      </c>
      <c r="L74" s="35" t="s">
        <v>1055</v>
      </c>
      <c r="M74" s="35" t="s">
        <v>773</v>
      </c>
      <c r="N74" s="35" t="s">
        <v>1255</v>
      </c>
      <c r="O74" s="35" t="s">
        <v>1257</v>
      </c>
      <c r="P74" s="35" t="s">
        <v>1256</v>
      </c>
      <c r="Q74" s="35" t="s">
        <v>1258</v>
      </c>
      <c r="S74" t="str">
        <f>WarningConfig!B123</f>
        <v>CloseDoorWithStbtWrn</v>
      </c>
      <c r="T74" t="str">
        <f>WarningConfig!K123</f>
        <v>请系上安全带并关闭车门</v>
      </c>
      <c r="U74" t="str">
        <f>VLOOKUP(T74,UEInput!I:N,2,0)</f>
        <v>Please Tie Seatbelt and Close Door</v>
      </c>
      <c r="V74" t="str">
        <f>VLOOKUP(T74,UEInput!I:N,3,0)</f>
        <v>Пристегните ремень безопасности и закройте двери машины</v>
      </c>
      <c r="W74" t="str">
        <f>VLOOKUP(T74,UEInput!I:N,5,0)</f>
        <v>يرجي ربط حزام الأمان وإغلاق الباب</v>
      </c>
      <c r="X74" t="str">
        <f>VLOOKUP(T74,UEInput!I:N,4,0)</f>
        <v>کمربند و درب خودرو را ببندید</v>
      </c>
      <c r="Y74" t="str">
        <f>VLOOKUP(T74,UEInput!I:N,6,0)</f>
        <v>Por favor, póngase el cinturón de seguridad y cerre la puerta del vehículo</v>
      </c>
    </row>
    <row r="75" spans="1:25">
      <c r="A75" s="14"/>
      <c r="B75" s="34" t="str">
        <f>WarningConfig!O124</f>
        <v>Wrn_EPBCloseSeatbeltWrn</v>
      </c>
      <c r="C75" s="34" t="s">
        <v>337</v>
      </c>
      <c r="D75" s="34" t="s">
        <v>570</v>
      </c>
      <c r="E75" s="34" t="s">
        <v>1239</v>
      </c>
      <c r="F75" s="34" t="s">
        <v>1240</v>
      </c>
      <c r="G75" s="34" t="s">
        <v>1241</v>
      </c>
      <c r="H75" s="34" t="s">
        <v>1242</v>
      </c>
      <c r="J75" s="14"/>
      <c r="K75" s="34" t="str">
        <f>WarningConfig!P124</f>
        <v>WrnList_EPBCloseSeatbeltWrn</v>
      </c>
      <c r="L75" s="35" t="s">
        <v>337</v>
      </c>
      <c r="M75" s="35" t="s">
        <v>773</v>
      </c>
      <c r="N75" s="35" t="s">
        <v>1239</v>
      </c>
      <c r="O75" s="35" t="s">
        <v>1241</v>
      </c>
      <c r="P75" s="35" t="s">
        <v>1240</v>
      </c>
      <c r="Q75" s="35" t="s">
        <v>1242</v>
      </c>
      <c r="S75" t="str">
        <f>WarningConfig!B124</f>
        <v>EPBCloseSeatbeltWrn</v>
      </c>
      <c r="T75" t="str">
        <f>WarningConfig!K124</f>
        <v>请系安全带</v>
      </c>
      <c r="U75" t="str">
        <f>VLOOKUP(T75,UEInput!I:N,2,0)</f>
        <v>Please Tie Seatbelt</v>
      </c>
      <c r="V75" t="str">
        <f>VLOOKUP(T75,UEInput!I:N,3,0)</f>
        <v>Пристегните ремень безопасности</v>
      </c>
      <c r="W75" t="str">
        <f>VLOOKUP(T75,UEInput!I:N,5,0)</f>
        <v>يرجي ربط حزام الأمان</v>
      </c>
      <c r="X75" t="str">
        <f>VLOOKUP(T75,UEInput!I:N,4,0)</f>
        <v>کمربند ایمنی را ببندید</v>
      </c>
      <c r="Y75" t="str">
        <f>VLOOKUP(T75,UEInput!I:N,6,0)</f>
        <v>Por favor, póngase el cinturón de seguridad</v>
      </c>
    </row>
    <row r="76" spans="1:25">
      <c r="A76" s="14"/>
      <c r="B76" s="34" t="str">
        <f>WarningConfig!O125</f>
        <v>Wrn_TCUOverTempWrn</v>
      </c>
      <c r="C76" s="34" t="s">
        <v>691</v>
      </c>
      <c r="D76" s="34" t="s">
        <v>1008</v>
      </c>
      <c r="E76" s="34" t="s">
        <v>1195</v>
      </c>
      <c r="F76" s="34" t="s">
        <v>1196</v>
      </c>
      <c r="G76" s="34" t="s">
        <v>1197</v>
      </c>
      <c r="H76" s="34" t="s">
        <v>1198</v>
      </c>
      <c r="J76" s="14"/>
      <c r="K76" s="34" t="str">
        <f>WarningConfig!P125</f>
        <v>WrnList_TCUOverTempWrn</v>
      </c>
      <c r="L76" s="35" t="s">
        <v>1056</v>
      </c>
      <c r="M76" s="35" t="s">
        <v>1067</v>
      </c>
      <c r="N76" s="35" t="s">
        <v>1195</v>
      </c>
      <c r="O76" s="35" t="s">
        <v>1197</v>
      </c>
      <c r="P76" s="35" t="s">
        <v>1196</v>
      </c>
      <c r="Q76" s="35" t="s">
        <v>1198</v>
      </c>
      <c r="S76" t="str">
        <f>WarningConfig!B125</f>
        <v>TCUOverTempWrn</v>
      </c>
      <c r="T76" t="str">
        <f>WarningConfig!K125</f>
        <v>变速箱温度过高，请安全停车</v>
      </c>
      <c r="U76" t="str">
        <f>VLOOKUP(T76,UEInput!I:N,2,0)</f>
        <v>Gearbox Overheat, Please stop</v>
      </c>
      <c r="V76" t="str">
        <f>VLOOKUP(T76,UEInput!I:N,3,0)</f>
        <v>Перегрев КП, остановите машину осторожно</v>
      </c>
      <c r="W76" t="str">
        <f>VLOOKUP(T76,UEInput!I:N,5,0)</f>
        <v>درجة حرارة علبة السرعة مرتفعة جدا، ويرجي وقوف المركبة بآمن</v>
      </c>
      <c r="X76" t="str">
        <f>VLOOKUP(T76,UEInput!I:N,4,0)</f>
        <v>حرارت گیربکس بسیار بالا است. لطفا خودرو را در جایی امن پار کنید</v>
      </c>
      <c r="Y76" t="str">
        <f>VLOOKUP(T76,UEInput!I:N,6,0)</f>
        <v>Por favor detenga el auto de forma segura si la caja de cambios se sobrecalienta.</v>
      </c>
    </row>
    <row r="77" spans="1:25">
      <c r="A77" s="14"/>
      <c r="B77" s="34" t="str">
        <f>WarningConfig!O126</f>
        <v>Wrn_TCUOverTempWrnWait</v>
      </c>
      <c r="C77" s="34" t="s">
        <v>693</v>
      </c>
      <c r="D77" s="34" t="s">
        <v>1009</v>
      </c>
      <c r="E77" s="34" t="s">
        <v>1199</v>
      </c>
      <c r="F77" s="34" t="s">
        <v>1200</v>
      </c>
      <c r="G77" s="34" t="s">
        <v>1201</v>
      </c>
      <c r="H77" s="34" t="s">
        <v>1202</v>
      </c>
      <c r="J77" s="14"/>
      <c r="K77" s="34" t="str">
        <f>WarningConfig!P126</f>
        <v>WrnList_TCUOverTempWrnWait</v>
      </c>
      <c r="L77" s="35" t="s">
        <v>1056</v>
      </c>
      <c r="M77" s="35" t="s">
        <v>1067</v>
      </c>
      <c r="N77" s="35" t="s">
        <v>1199</v>
      </c>
      <c r="O77" s="35" t="s">
        <v>1201</v>
      </c>
      <c r="P77" s="35" t="s">
        <v>1200</v>
      </c>
      <c r="Q77" s="35" t="s">
        <v>1202</v>
      </c>
      <c r="S77" t="str">
        <f>WarningConfig!B126</f>
        <v>TCUOverTempWrnWait</v>
      </c>
      <c r="T77" t="str">
        <f>WarningConfig!K126</f>
        <v>变速箱温度过高，请等候&gt;5分钟</v>
      </c>
      <c r="U77" t="str">
        <f>VLOOKUP(T77,UEInput!I:N,2,0)</f>
        <v>Gearbox Overheat, Please wait&gt;5 min</v>
      </c>
      <c r="V77" t="str">
        <f>VLOOKUP(T77,UEInput!I:N,3,0)</f>
        <v>Перегрев КП, ожидайте не менее 5 мин.</v>
      </c>
      <c r="W77" t="str">
        <f>VLOOKUP(T77,UEInput!I:N,5,0)</f>
        <v>درجة حرارة علبة السرعة مرتفعة جدا، ويرجي  الانتظار لمدة أكثر من 5 دقائق</v>
      </c>
      <c r="X77" t="str">
        <f>VLOOKUP(T77,UEInput!I:N,4,0)</f>
        <v>حرارت گیربکس بسیار بالا است. لطفا برای 5 دقیقه صبر کنید.</v>
      </c>
      <c r="Y77" t="str">
        <f>VLOOKUP(T77,UEInput!I:N,6,0)</f>
        <v>Por favor espere por &gt;5 min si la caja de cambios se sobrecalienta.</v>
      </c>
    </row>
    <row r="78" spans="1:25">
      <c r="A78" s="14"/>
      <c r="B78" s="34" t="str">
        <f>WarningConfig!O127</f>
        <v>Wrn_DoorOpen2</v>
      </c>
      <c r="C78" s="34" t="s">
        <v>1546</v>
      </c>
      <c r="D78" s="49" t="s">
        <v>1547</v>
      </c>
      <c r="E78" s="34" t="s">
        <v>473</v>
      </c>
      <c r="F78" s="34" t="s">
        <v>473</v>
      </c>
      <c r="G78" s="34" t="s">
        <v>473</v>
      </c>
      <c r="H78" s="34" t="s">
        <v>473</v>
      </c>
      <c r="J78" s="14"/>
      <c r="K78" s="34" t="str">
        <f>WarningConfig!P127</f>
        <v>WrnList_DoorOpen2</v>
      </c>
      <c r="L78" s="35" t="s">
        <v>1546</v>
      </c>
      <c r="M78" s="35" t="s">
        <v>1547</v>
      </c>
      <c r="N78" s="35" t="s">
        <v>473</v>
      </c>
      <c r="O78" s="35" t="s">
        <v>473</v>
      </c>
      <c r="P78" s="35" t="s">
        <v>473</v>
      </c>
      <c r="Q78" s="35" t="s">
        <v>473</v>
      </c>
      <c r="S78" t="str">
        <f>WarningConfig!B127</f>
        <v>DoorOpen2</v>
      </c>
      <c r="T78" t="str">
        <f>WarningConfig!K127</f>
        <v>门开安全带报警</v>
      </c>
      <c r="U78" t="str">
        <f>VLOOKUP(T78,UEInput!I:N,2,0)</f>
        <v>Door and Seatbelt</v>
      </c>
      <c r="V78" t="str">
        <f>VLOOKUP(T78,UEInput!I:N,3,0)</f>
        <v>NA</v>
      </c>
      <c r="W78" t="str">
        <f>VLOOKUP(T78,UEInput!I:N,5,0)</f>
        <v>NA</v>
      </c>
      <c r="X78" t="str">
        <f>VLOOKUP(T78,UEInput!I:N,4,0)</f>
        <v>NA</v>
      </c>
      <c r="Y78" t="str">
        <f>VLOOKUP(T78,UEInput!I:N,6,0)</f>
        <v>NA</v>
      </c>
    </row>
    <row r="79" spans="1:25">
      <c r="A79" s="14"/>
      <c r="B79" s="34" t="str">
        <f>WarningConfig!O128</f>
        <v>Wrn_PositionLampFailWrn</v>
      </c>
      <c r="C79" s="34" t="s">
        <v>277</v>
      </c>
      <c r="D79" s="34" t="s">
        <v>538</v>
      </c>
      <c r="E79" s="34" t="s">
        <v>1385</v>
      </c>
      <c r="F79" s="34" t="s">
        <v>1386</v>
      </c>
      <c r="G79" s="34" t="s">
        <v>1387</v>
      </c>
      <c r="H79" s="34" t="s">
        <v>1388</v>
      </c>
      <c r="J79" s="14"/>
      <c r="K79" s="34" t="str">
        <f>WarningConfig!P128</f>
        <v>WrnList_PositionLampFailWrn</v>
      </c>
      <c r="L79" s="35" t="s">
        <v>277</v>
      </c>
      <c r="M79" s="35" t="s">
        <v>732</v>
      </c>
      <c r="N79" s="35" t="s">
        <v>1385</v>
      </c>
      <c r="O79" s="35" t="s">
        <v>1387</v>
      </c>
      <c r="P79" s="35" t="s">
        <v>1386</v>
      </c>
      <c r="Q79" s="35" t="s">
        <v>1388</v>
      </c>
      <c r="S79" t="str">
        <f>WarningConfig!B128</f>
        <v>PositionLampFailWrn</v>
      </c>
      <c r="T79" t="str">
        <f>WarningConfig!K128</f>
        <v>位置灯故障</v>
      </c>
      <c r="U79" t="str">
        <f>VLOOKUP(T79,UEInput!I:N,2,0)</f>
        <v>Position Lamp Failure</v>
      </c>
      <c r="V79" t="str">
        <f>VLOOKUP(T79,UEInput!I:N,3,0)</f>
        <v>Неисправность габаритного огня</v>
      </c>
      <c r="W79" t="str">
        <f>VLOOKUP(T79,UEInput!I:N,5,0)</f>
        <v>فشل مصباح الموقف</v>
      </c>
      <c r="X79" t="str">
        <f>VLOOKUP(T79,UEInput!I:N,4,0)</f>
        <v>نقص چراغ‌های موقعیت‌نما</v>
      </c>
      <c r="Y79" t="str">
        <f>VLOOKUP(T79,UEInput!I:N,6,0)</f>
        <v>Avería de luz indicadora de ubicación</v>
      </c>
    </row>
    <row r="80" spans="1:25">
      <c r="A80" s="14"/>
      <c r="B80" s="34" t="str">
        <f>WarningConfig!O129</f>
        <v>Wrn_TPMSSensorUnlearnWrn</v>
      </c>
      <c r="C80" s="34" t="s">
        <v>632</v>
      </c>
      <c r="D80" s="34" t="s">
        <v>715</v>
      </c>
      <c r="E80" s="34" t="s">
        <v>1389</v>
      </c>
      <c r="F80" s="34" t="s">
        <v>1390</v>
      </c>
      <c r="G80" s="34" t="s">
        <v>1391</v>
      </c>
      <c r="H80" s="34" t="s">
        <v>1392</v>
      </c>
      <c r="J80" s="14"/>
      <c r="K80" s="34" t="str">
        <f>WarningConfig!P129</f>
        <v>WrnList_TPMSSensorUnlearnWrn</v>
      </c>
      <c r="L80" s="35" t="s">
        <v>632</v>
      </c>
      <c r="M80" s="35" t="s">
        <v>753</v>
      </c>
      <c r="N80" s="35" t="s">
        <v>1389</v>
      </c>
      <c r="O80" s="35" t="s">
        <v>1391</v>
      </c>
      <c r="P80" s="35" t="s">
        <v>1390</v>
      </c>
      <c r="Q80" s="35" t="s">
        <v>1392</v>
      </c>
      <c r="S80" t="str">
        <f>WarningConfig!B129</f>
        <v>TPMSSensorUnlearnWrn</v>
      </c>
      <c r="T80" t="str">
        <f>WarningConfig!K129</f>
        <v>传感器未学习</v>
      </c>
      <c r="U80" t="str">
        <f>VLOOKUP(T80,UEInput!I:N,2,0)</f>
        <v xml:space="preserve">TPMS Sensor Not learning </v>
      </c>
      <c r="V80" t="str">
        <f>VLOOKUP(T80,UEInput!I:N,3,0)</f>
        <v>Не проведена конфигурация датчика</v>
      </c>
      <c r="W80" t="str">
        <f>VLOOKUP(T80,UEInput!I:N,5,0)</f>
        <v>لا يتعلم جهاز الاستشعار</v>
      </c>
      <c r="X80" t="str">
        <f>VLOOKUP(T80,UEInput!I:N,4,0)</f>
        <v>آموزش سنسور انجام نگرفت</v>
      </c>
      <c r="Y80" t="str">
        <f>VLOOKUP(T80,UEInput!I:N,6,0)</f>
        <v>El Sensor no aprende</v>
      </c>
    </row>
    <row r="81" spans="1:25">
      <c r="A81" s="14"/>
      <c r="B81" s="34" t="str">
        <f>WarningConfig!O130</f>
        <v>Wrn_TirePressLowWrn</v>
      </c>
      <c r="C81" s="34" t="s">
        <v>396</v>
      </c>
      <c r="D81" s="34" t="s">
        <v>536</v>
      </c>
      <c r="E81" s="34" t="s">
        <v>1393</v>
      </c>
      <c r="F81" s="34" t="s">
        <v>1394</v>
      </c>
      <c r="G81" s="34" t="s">
        <v>1395</v>
      </c>
      <c r="H81" s="34" t="s">
        <v>1396</v>
      </c>
      <c r="J81" s="14"/>
      <c r="K81" s="34" t="str">
        <f>WarningConfig!P130</f>
        <v>WrnList_TirePressLowWrn</v>
      </c>
      <c r="L81" s="35" t="s">
        <v>396</v>
      </c>
      <c r="M81" s="35" t="s">
        <v>536</v>
      </c>
      <c r="N81" s="35" t="s">
        <v>1393</v>
      </c>
      <c r="O81" s="35" t="s">
        <v>1395</v>
      </c>
      <c r="P81" s="35" t="s">
        <v>1394</v>
      </c>
      <c r="Q81" s="35" t="s">
        <v>1396</v>
      </c>
      <c r="S81" t="str">
        <f>WarningConfig!B130</f>
        <v>TirePressLowWrn</v>
      </c>
      <c r="T81" t="str">
        <f>WarningConfig!K130</f>
        <v>胎压过低</v>
      </c>
      <c r="U81" t="str">
        <f>VLOOKUP(T81,UEInput!I:N,2,0)</f>
        <v>Tyre Pressure Low</v>
      </c>
      <c r="V81" t="str">
        <f>VLOOKUP(T81,UEInput!I:N,3,0)</f>
        <v>Перепад давления шины</v>
      </c>
      <c r="W81" t="str">
        <f>VLOOKUP(T81,UEInput!I:N,5,0)</f>
        <v xml:space="preserve">ضغط الهواء في الإطارات منخفضة جدا </v>
      </c>
      <c r="X81" t="str">
        <f>VLOOKUP(T81,UEInput!I:N,4,0)</f>
        <v>فشار تایر بسیار پایین</v>
      </c>
      <c r="Y81" t="str">
        <f>VLOOKUP(T81,UEInput!I:N,6,0)</f>
        <v>La presión de los neumáticos es demasiado baja</v>
      </c>
    </row>
    <row r="82" spans="1:25">
      <c r="A82" s="14"/>
      <c r="B82" s="34" t="str">
        <f>WarningConfig!O131</f>
        <v>Wrn_TireTempHighWrn</v>
      </c>
      <c r="C82" s="34" t="s">
        <v>398</v>
      </c>
      <c r="D82" s="34" t="s">
        <v>535</v>
      </c>
      <c r="E82" s="34" t="s">
        <v>1397</v>
      </c>
      <c r="F82" s="34" t="s">
        <v>1398</v>
      </c>
      <c r="G82" s="34" t="s">
        <v>1399</v>
      </c>
      <c r="H82" s="34" t="s">
        <v>1400</v>
      </c>
      <c r="J82" s="14"/>
      <c r="K82" s="34" t="str">
        <f>WarningConfig!P131</f>
        <v>WrnList_TireTempHighWrn</v>
      </c>
      <c r="L82" s="35" t="s">
        <v>398</v>
      </c>
      <c r="M82" s="35" t="s">
        <v>733</v>
      </c>
      <c r="N82" s="35" t="s">
        <v>1397</v>
      </c>
      <c r="O82" s="35" t="s">
        <v>1399</v>
      </c>
      <c r="P82" s="35" t="s">
        <v>1398</v>
      </c>
      <c r="Q82" s="35" t="s">
        <v>1400</v>
      </c>
      <c r="S82" t="str">
        <f>WarningConfig!B131</f>
        <v>TireTempHighWrn</v>
      </c>
      <c r="T82" t="str">
        <f>WarningConfig!K131</f>
        <v>胎温过高</v>
      </c>
      <c r="U82" t="str">
        <f>VLOOKUP(T82,UEInput!I:N,2,0)</f>
        <v>Tyre Temperature High</v>
      </c>
      <c r="V82" t="str">
        <f>VLOOKUP(T82,UEInput!I:N,3,0)</f>
        <v>Перегрев шины</v>
      </c>
      <c r="W82" t="str">
        <f>VLOOKUP(T82,UEInput!I:N,5,0)</f>
        <v>درجة حرارة الإطارات مرتفعة جدا</v>
      </c>
      <c r="X82" t="str">
        <f>VLOOKUP(T82,UEInput!I:N,4,0)</f>
        <v>حرارت تایر بسیار بالا</v>
      </c>
      <c r="Y82" t="str">
        <f>VLOOKUP(T82,UEInput!I:N,6,0)</f>
        <v>La temperatura del neumático es demasiado alta</v>
      </c>
    </row>
    <row r="83" spans="1:25">
      <c r="A83" s="14"/>
      <c r="B83" s="34" t="str">
        <f>WarningConfig!O132</f>
        <v>Wrn_TireFastLeakWrn</v>
      </c>
      <c r="C83" s="34" t="s">
        <v>400</v>
      </c>
      <c r="D83" s="34" t="s">
        <v>762</v>
      </c>
      <c r="E83" s="34" t="s">
        <v>1401</v>
      </c>
      <c r="F83" s="34" t="s">
        <v>1402</v>
      </c>
      <c r="G83" s="34" t="s">
        <v>1403</v>
      </c>
      <c r="H83" s="34" t="s">
        <v>1404</v>
      </c>
      <c r="J83" s="14"/>
      <c r="K83" s="34" t="str">
        <f>WarningConfig!P132</f>
        <v>WrnList_TireFastLeakWrn</v>
      </c>
      <c r="L83" s="35" t="s">
        <v>400</v>
      </c>
      <c r="M83" s="35" t="s">
        <v>774</v>
      </c>
      <c r="N83" s="35" t="s">
        <v>1401</v>
      </c>
      <c r="O83" s="35" t="s">
        <v>1403</v>
      </c>
      <c r="P83" s="35" t="s">
        <v>1402</v>
      </c>
      <c r="Q83" s="35" t="s">
        <v>1404</v>
      </c>
      <c r="S83" t="str">
        <f>WarningConfig!B132</f>
        <v>TireFastLeakWrn</v>
      </c>
      <c r="T83" t="str">
        <f>WarningConfig!K132</f>
        <v>轮胎快速泄压</v>
      </c>
      <c r="U83" t="str">
        <f>VLOOKUP(T83,UEInput!I:N,2,0)</f>
        <v>Tyre  Pressure Fast Change</v>
      </c>
      <c r="V83" t="str">
        <f>VLOOKUP(T83,UEInput!I:N,3,0)</f>
        <v>Быстрый выпуск воздуха шины</v>
      </c>
      <c r="W83" t="str">
        <f>VLOOKUP(T83,UEInput!I:N,5,0)</f>
        <v>تفريغ ضغط الهواء في الإطارات بسرعة</v>
      </c>
      <c r="X83" t="str">
        <f>VLOOKUP(T83,UEInput!I:N,4,0)</f>
        <v>تایر نشت سریع دارد</v>
      </c>
      <c r="Y83" t="str">
        <f>VLOOKUP(T83,UEInput!I:N,6,0)</f>
        <v>La presión de los neumáticos rápidamente se desfoga</v>
      </c>
    </row>
    <row r="84" spans="1:25">
      <c r="A84" s="14"/>
      <c r="B84" s="34" t="str">
        <f>WarningConfig!O133</f>
        <v>Wrn_TirePressHighWrn</v>
      </c>
      <c r="C84" s="34" t="s">
        <v>402</v>
      </c>
      <c r="D84" s="34" t="s">
        <v>533</v>
      </c>
      <c r="E84" s="34" t="s">
        <v>1405</v>
      </c>
      <c r="F84" s="34" t="s">
        <v>1406</v>
      </c>
      <c r="G84" s="34" t="s">
        <v>1407</v>
      </c>
      <c r="H84" s="34" t="s">
        <v>1408</v>
      </c>
      <c r="J84" s="14"/>
      <c r="K84" s="34" t="str">
        <f>WarningConfig!P133</f>
        <v>WrnList_TirePressHighWrn</v>
      </c>
      <c r="L84" s="35" t="s">
        <v>402</v>
      </c>
      <c r="M84" s="35" t="s">
        <v>775</v>
      </c>
      <c r="N84" s="35" t="s">
        <v>1405</v>
      </c>
      <c r="O84" s="35" t="s">
        <v>1407</v>
      </c>
      <c r="P84" s="35" t="s">
        <v>1406</v>
      </c>
      <c r="Q84" s="35" t="s">
        <v>1408</v>
      </c>
      <c r="S84" t="str">
        <f>WarningConfig!B133</f>
        <v>TirePressHighWrn</v>
      </c>
      <c r="T84" t="str">
        <f>WarningConfig!K133</f>
        <v>胎压过高</v>
      </c>
      <c r="U84" t="str">
        <f>VLOOKUP(T84,UEInput!I:N,2,0)</f>
        <v>Tyre Pressure High</v>
      </c>
      <c r="V84" t="str">
        <f>VLOOKUP(T84,UEInput!I:N,3,0)</f>
        <v>Переполнение шины</v>
      </c>
      <c r="W84" t="str">
        <f>VLOOKUP(T84,UEInput!I:N,5,0)</f>
        <v>ضغط الهواء في الإطارات مرتفع جدا</v>
      </c>
      <c r="X84" t="str">
        <f>VLOOKUP(T84,UEInput!I:N,4,0)</f>
        <v>فشار تایر بسیار بالا</v>
      </c>
      <c r="Y84" t="str">
        <f>VLOOKUP(T84,UEInput!I:N,6,0)</f>
        <v>La presión de los neumáticos está demasiado alta</v>
      </c>
    </row>
    <row r="85" spans="1:25">
      <c r="A85" s="14"/>
      <c r="B85" s="34" t="str">
        <f>WarningConfig!O134</f>
        <v>Wrn_TPMSSensorErrorWrn</v>
      </c>
      <c r="C85" s="34" t="s">
        <v>404</v>
      </c>
      <c r="D85" s="34" t="s">
        <v>970</v>
      </c>
      <c r="E85" s="34" t="s">
        <v>1409</v>
      </c>
      <c r="F85" s="34" t="s">
        <v>1410</v>
      </c>
      <c r="G85" s="34" t="s">
        <v>1411</v>
      </c>
      <c r="H85" s="34" t="s">
        <v>1412</v>
      </c>
      <c r="J85" s="14"/>
      <c r="K85" s="34" t="str">
        <f>WarningConfig!P134</f>
        <v>WrnList_TPMSSensorErrorWrn</v>
      </c>
      <c r="L85" s="35" t="s">
        <v>404</v>
      </c>
      <c r="M85" s="35" t="s">
        <v>971</v>
      </c>
      <c r="N85" s="35" t="s">
        <v>1409</v>
      </c>
      <c r="O85" s="35" t="s">
        <v>1411</v>
      </c>
      <c r="P85" s="35" t="s">
        <v>1410</v>
      </c>
      <c r="Q85" s="35" t="s">
        <v>1412</v>
      </c>
      <c r="S85" t="str">
        <f>WarningConfig!B134</f>
        <v>TPMSSensorErrorWrn</v>
      </c>
      <c r="T85" t="str">
        <f>WarningConfig!K134</f>
        <v>传感器故障</v>
      </c>
      <c r="U85" t="str">
        <f>VLOOKUP(T85,UEInput!I:N,2,0)</f>
        <v>TPMS Sensor Failure</v>
      </c>
      <c r="V85" t="str">
        <f>VLOOKUP(T85,UEInput!I:N,3,0)</f>
        <v>Неисправность датчика</v>
      </c>
      <c r="W85" t="str">
        <f>VLOOKUP(T85,UEInput!I:N,5,0)</f>
        <v>فشل جهاز الاستشعار</v>
      </c>
      <c r="X85" t="str">
        <f>VLOOKUP(T85,UEInput!I:N,4,0)</f>
        <v>نقص سنسور</v>
      </c>
      <c r="Y85" t="str">
        <f>VLOOKUP(T85,UEInput!I:N,6,0)</f>
        <v>Fallo de sensor</v>
      </c>
    </row>
    <row r="86" spans="1:25">
      <c r="A86" s="14"/>
      <c r="B86" s="34" t="str">
        <f>WarningConfig!O135</f>
        <v>Wrn_TPMSSignalErrorWrn</v>
      </c>
      <c r="C86" s="34" t="s">
        <v>275</v>
      </c>
      <c r="D86" s="34" t="s">
        <v>532</v>
      </c>
      <c r="E86" s="34" t="s">
        <v>1413</v>
      </c>
      <c r="F86" s="34" t="s">
        <v>1414</v>
      </c>
      <c r="G86" s="34" t="s">
        <v>1415</v>
      </c>
      <c r="H86" s="34" t="s">
        <v>1416</v>
      </c>
      <c r="J86" s="14"/>
      <c r="K86" s="34" t="str">
        <f>WarningConfig!P135</f>
        <v>WrnList_TPMSSignalErrorWrn</v>
      </c>
      <c r="L86" s="35" t="s">
        <v>275</v>
      </c>
      <c r="M86" s="35" t="s">
        <v>734</v>
      </c>
      <c r="N86" s="35" t="s">
        <v>1413</v>
      </c>
      <c r="O86" s="35" t="s">
        <v>1415</v>
      </c>
      <c r="P86" s="35" t="s">
        <v>1414</v>
      </c>
      <c r="Q86" s="35" t="s">
        <v>1416</v>
      </c>
      <c r="S86" t="str">
        <f>WarningConfig!B135</f>
        <v>TPMSSignalErrorWrn</v>
      </c>
      <c r="T86" t="str">
        <f>WarningConfig!K135</f>
        <v>TPMS信号异常</v>
      </c>
      <c r="U86" t="str">
        <f>VLOOKUP(T86,UEInput!I:N,2,0)</f>
        <v>TPMS signal abnormal</v>
      </c>
      <c r="V86" t="str">
        <f>VLOOKUP(T86,UEInput!I:N,3,0)</f>
        <v>Неисправность сигнала TPMS</v>
      </c>
      <c r="W86" t="str">
        <f>VLOOKUP(T86,UEInput!I:N,5,0)</f>
        <v>إشارة TPMS غير طبيعية</v>
      </c>
      <c r="X86" t="str">
        <f>VLOOKUP(T86,UEInput!I:N,4,0)</f>
        <v>سیستم TPMS پیام از وضعیت غیرعادی می دهد</v>
      </c>
      <c r="Y86" t="str">
        <f>VLOOKUP(T86,UEInput!I:N,6,0)</f>
        <v>Señal de TPMS Anormal</v>
      </c>
    </row>
    <row r="87" spans="1:25">
      <c r="A87" s="14"/>
      <c r="B87" s="34" t="str">
        <f>WarningConfig!O136</f>
        <v>Wrn_TPMSSensorVolLowWrn</v>
      </c>
      <c r="C87" s="34" t="s">
        <v>407</v>
      </c>
      <c r="D87" s="34" t="s">
        <v>1039</v>
      </c>
      <c r="E87" s="34" t="s">
        <v>1417</v>
      </c>
      <c r="F87" s="34" t="s">
        <v>1418</v>
      </c>
      <c r="G87" s="34" t="s">
        <v>1419</v>
      </c>
      <c r="H87" s="34" t="s">
        <v>1420</v>
      </c>
      <c r="J87" s="14"/>
      <c r="K87" s="34" t="str">
        <f>WarningConfig!P136</f>
        <v>WrnList_TPMSSensorVolLowWrn</v>
      </c>
      <c r="L87" s="35" t="s">
        <v>407</v>
      </c>
      <c r="M87" s="35" t="s">
        <v>971</v>
      </c>
      <c r="N87" s="35" t="s">
        <v>1417</v>
      </c>
      <c r="O87" s="35" t="s">
        <v>1419</v>
      </c>
      <c r="P87" s="35" t="s">
        <v>1418</v>
      </c>
      <c r="Q87" s="35" t="s">
        <v>1420</v>
      </c>
      <c r="S87" t="str">
        <f>WarningConfig!B136</f>
        <v>TPMSSensorVolLowWrn</v>
      </c>
      <c r="T87" t="str">
        <f>WarningConfig!K136</f>
        <v>传感器电量低</v>
      </c>
      <c r="U87" t="str">
        <f>VLOOKUP(T87,UEInput!I:N,2,0)</f>
        <v>TPMS Sensor Battery Low</v>
      </c>
      <c r="V87" t="str">
        <f>VLOOKUP(T87,UEInput!I:N,3,0)</f>
        <v>Недонапряжение датчика</v>
      </c>
      <c r="W87" t="str">
        <f>VLOOKUP(T87,UEInput!I:N,5,0)</f>
        <v>طاقة بطارية جهاز الاستشعار منخفضة</v>
      </c>
      <c r="X87" t="str">
        <f>VLOOKUP(T87,UEInput!I:N,4,0)</f>
        <v>شارژ سنسور کم است</v>
      </c>
      <c r="Y87" t="str">
        <f>VLOOKUP(T87,UEInput!I:N,6,0)</f>
        <v>Baja potencia de sensor</v>
      </c>
    </row>
    <row r="88" spans="1:25">
      <c r="A88" s="14"/>
      <c r="B88" s="34" t="str">
        <f>WarningConfig!O137</f>
        <v>Wrn_TPMSDisableWrn</v>
      </c>
      <c r="C88" s="34" t="s">
        <v>409</v>
      </c>
      <c r="D88" s="34" t="s">
        <v>531</v>
      </c>
      <c r="E88" s="34" t="s">
        <v>1421</v>
      </c>
      <c r="F88" s="34" t="s">
        <v>1422</v>
      </c>
      <c r="G88" s="34" t="s">
        <v>1423</v>
      </c>
      <c r="H88" s="34" t="s">
        <v>1424</v>
      </c>
      <c r="J88" s="14"/>
      <c r="K88" s="34" t="str">
        <f>WarningConfig!P137</f>
        <v>WrnList_TPMSDisableWrn</v>
      </c>
      <c r="L88" s="35" t="s">
        <v>409</v>
      </c>
      <c r="M88" s="35" t="s">
        <v>531</v>
      </c>
      <c r="N88" s="35" t="s">
        <v>1421</v>
      </c>
      <c r="O88" s="35" t="s">
        <v>1423</v>
      </c>
      <c r="P88" s="35" t="s">
        <v>1422</v>
      </c>
      <c r="Q88" s="35" t="s">
        <v>1424</v>
      </c>
      <c r="S88" t="str">
        <f>WarningConfig!B137</f>
        <v>TPMSDisableWrn</v>
      </c>
      <c r="T88" t="str">
        <f>WarningConfig!K137</f>
        <v>TPMS系统关闭</v>
      </c>
      <c r="U88" t="str">
        <f>VLOOKUP(T88,UEInput!I:N,2,0)</f>
        <v>TPMS Switch Off</v>
      </c>
      <c r="V88" t="str">
        <f>VLOOKUP(T88,UEInput!I:N,3,0)</f>
        <v>Отключена TPMS</v>
      </c>
      <c r="W88" t="str">
        <f>VLOOKUP(T88,UEInput!I:N,5,0)</f>
        <v>تشغيل نظام TPMS</v>
      </c>
      <c r="X88" t="str">
        <f>VLOOKUP(T88,UEInput!I:N,4,0)</f>
        <v>سیستم TPMS بسته است</v>
      </c>
      <c r="Y88" t="str">
        <f>VLOOKUP(T88,UEInput!I:N,6,0)</f>
        <v>Cerrar el sistema de TPMS</v>
      </c>
    </row>
    <row r="89" spans="1:25">
      <c r="A89" s="14"/>
      <c r="B89" s="34" t="str">
        <f>WarningConfig!O138</f>
        <v>Wrn_ParkFailWrn</v>
      </c>
      <c r="C89" s="34" t="s">
        <v>485</v>
      </c>
      <c r="D89" s="34" t="s">
        <v>1032</v>
      </c>
      <c r="E89" s="34" t="s">
        <v>1223</v>
      </c>
      <c r="F89" s="34" t="s">
        <v>1224</v>
      </c>
      <c r="G89" s="34" t="s">
        <v>1225</v>
      </c>
      <c r="H89" s="34" t="s">
        <v>1226</v>
      </c>
      <c r="J89" s="14"/>
      <c r="K89" s="34" t="str">
        <f>WarningConfig!P138</f>
        <v>WrnList_ParkFailWrn</v>
      </c>
      <c r="L89" s="35" t="s">
        <v>485</v>
      </c>
      <c r="M89" s="35" t="s">
        <v>1032</v>
      </c>
      <c r="N89" s="35" t="s">
        <v>1223</v>
      </c>
      <c r="O89" s="35" t="s">
        <v>1225</v>
      </c>
      <c r="P89" s="35" t="s">
        <v>1224</v>
      </c>
      <c r="Q89" s="35" t="s">
        <v>1226</v>
      </c>
      <c r="S89" t="str">
        <f>WarningConfig!B138</f>
        <v>ParkFailWrn</v>
      </c>
      <c r="T89" t="str">
        <f>WarningConfig!K138</f>
        <v>驻车失效</v>
      </c>
      <c r="U89" t="str">
        <f>VLOOKUP(T89,UEInput!I:N,2,0)</f>
        <v>Park Failure</v>
      </c>
      <c r="V89" t="str">
        <f>VLOOKUP(T89,UEInput!I:N,3,0)</f>
        <v>Выход из строя стояночного тормоза</v>
      </c>
      <c r="W89" t="str">
        <f>VLOOKUP(T89,UEInput!I:N,5,0)</f>
        <v>فشل الوقوف</v>
      </c>
      <c r="X89" t="str">
        <f>VLOOKUP(T89,UEInput!I:N,4,0)</f>
        <v>پارک کردن خودرو امکان ناپذیر بود</v>
      </c>
      <c r="Y89" t="str">
        <f>VLOOKUP(T89,UEInput!I:N,6,0)</f>
        <v>Falta de estacionamiento</v>
      </c>
    </row>
    <row r="90" spans="1:25">
      <c r="A90" s="14"/>
      <c r="B90" s="34" t="str">
        <f>WarningConfig!O139</f>
        <v>Wrn_MILRequestWrn</v>
      </c>
      <c r="C90" s="34" t="s">
        <v>486</v>
      </c>
      <c r="D90" s="34" t="s">
        <v>1081</v>
      </c>
      <c r="E90" s="34" t="s">
        <v>1227</v>
      </c>
      <c r="F90" s="34" t="s">
        <v>1228</v>
      </c>
      <c r="G90" s="34" t="s">
        <v>1229</v>
      </c>
      <c r="H90" s="34" t="s">
        <v>1230</v>
      </c>
      <c r="I90" s="1"/>
      <c r="J90" s="14"/>
      <c r="K90" s="34" t="str">
        <f>WarningConfig!P139</f>
        <v>WrnList_MILRequestWrn</v>
      </c>
      <c r="L90" s="35" t="s">
        <v>1057</v>
      </c>
      <c r="M90" s="35" t="s">
        <v>776</v>
      </c>
      <c r="N90" s="35" t="s">
        <v>1227</v>
      </c>
      <c r="O90" s="35" t="s">
        <v>1229</v>
      </c>
      <c r="P90" s="35" t="s">
        <v>1228</v>
      </c>
      <c r="Q90" s="35" t="s">
        <v>1230</v>
      </c>
      <c r="S90" t="str">
        <f>WarningConfig!B139</f>
        <v>MILRequestWrn</v>
      </c>
      <c r="T90" t="str">
        <f>WarningConfig!K139</f>
        <v>联系售后服务检查变速箱</v>
      </c>
      <c r="U90" t="str">
        <f>VLOOKUP(T90,UEInput!I:N,2,0)</f>
        <v>Contact Service to check Transmission</v>
      </c>
      <c r="V90" t="str">
        <f>VLOOKUP(T90,UEInput!I:N,3,0)</f>
        <v>Для проверки КП связывайте с пунктом послепродажного обслуживания</v>
      </c>
      <c r="W90" t="str">
        <f>VLOOKUP(T90,UEInput!I:N,5,0)</f>
        <v>يرجي الاتصال بمركز الخدمة لفحص علبة السرعة</v>
      </c>
      <c r="X90" t="str">
        <f>VLOOKUP(T90,UEInput!I:N,4,0)</f>
        <v>برای بازرسی گیربکس با واحد خدمات پس از فروش تماس بگیرید</v>
      </c>
      <c r="Y90" t="str">
        <f>VLOOKUP(T90,UEInput!I:N,6,0)</f>
        <v>Contacte con el servicio de post-venta para inspeccionar la caja de cambios</v>
      </c>
    </row>
    <row r="91" spans="1:25">
      <c r="A91" s="14"/>
      <c r="B91" s="34" t="str">
        <f>WarningConfig!O140</f>
        <v>Wrn_BrakeFuelLowWrn</v>
      </c>
      <c r="C91" s="34" t="s">
        <v>415</v>
      </c>
      <c r="D91" s="34" t="s">
        <v>601</v>
      </c>
      <c r="E91" s="34" t="s">
        <v>1091</v>
      </c>
      <c r="F91" s="34" t="s">
        <v>1092</v>
      </c>
      <c r="G91" s="34" t="s">
        <v>1093</v>
      </c>
      <c r="H91" s="34" t="s">
        <v>1094</v>
      </c>
      <c r="J91" s="14"/>
      <c r="K91" s="34" t="str">
        <f>WarningConfig!P140</f>
        <v>WrnList_BrakeFuelLowWrn</v>
      </c>
      <c r="L91" s="35" t="s">
        <v>415</v>
      </c>
      <c r="M91" s="35" t="s">
        <v>601</v>
      </c>
      <c r="N91" s="35" t="s">
        <v>1091</v>
      </c>
      <c r="O91" s="35" t="s">
        <v>1093</v>
      </c>
      <c r="P91" s="35" t="s">
        <v>1092</v>
      </c>
      <c r="Q91" s="35" t="s">
        <v>1094</v>
      </c>
      <c r="S91" t="str">
        <f>WarningConfig!B140</f>
        <v>BrakeFuelLowWrn</v>
      </c>
      <c r="T91" t="str">
        <f>WarningConfig!K140</f>
        <v>制动液位过低</v>
      </c>
      <c r="U91" t="str">
        <f>VLOOKUP(T91,UEInput!I:N,2,0)</f>
        <v>Break Fluid Low</v>
      </c>
      <c r="V91" t="str">
        <f>VLOOKUP(T91,UEInput!I:N,3,0)</f>
        <v>Низкий уровень жидкости бака торможения</v>
      </c>
      <c r="W91" t="str">
        <f>VLOOKUP(T91,UEInput!I:N,5,0)</f>
        <v>مستوى زيت الفرامل منخفض جدا</v>
      </c>
      <c r="X91" t="str">
        <f>VLOOKUP(T91,UEInput!I:N,4,0)</f>
        <v>سطح مایع ترمز بسیار پایین است</v>
      </c>
      <c r="Y91" t="str">
        <f>VLOOKUP(T91,UEInput!I:N,6,0)</f>
        <v>El nivel del líquido de freno es demasiado bajo</v>
      </c>
    </row>
    <row r="92" spans="1:25">
      <c r="A92" s="14"/>
      <c r="B92" s="34" t="str">
        <f>WarningConfig!O141</f>
        <v>Wrn_OilPressLowWrn</v>
      </c>
      <c r="C92" s="34" t="s">
        <v>417</v>
      </c>
      <c r="D92" s="34" t="s">
        <v>600</v>
      </c>
      <c r="E92" s="34" t="s">
        <v>1095</v>
      </c>
      <c r="F92" s="34" t="s">
        <v>1096</v>
      </c>
      <c r="G92" s="34" t="s">
        <v>1097</v>
      </c>
      <c r="H92" s="34" t="s">
        <v>1098</v>
      </c>
      <c r="J92" s="14"/>
      <c r="K92" s="34" t="str">
        <f>WarningConfig!P141</f>
        <v>WrnList_OilPressLowWrn</v>
      </c>
      <c r="L92" s="35" t="s">
        <v>417</v>
      </c>
      <c r="M92" s="35" t="s">
        <v>600</v>
      </c>
      <c r="N92" s="35" t="s">
        <v>1095</v>
      </c>
      <c r="O92" s="35" t="s">
        <v>1097</v>
      </c>
      <c r="P92" s="35" t="s">
        <v>1096</v>
      </c>
      <c r="Q92" s="35" t="s">
        <v>1098</v>
      </c>
      <c r="S92" t="str">
        <f>WarningConfig!B141</f>
        <v>OilPressLowWrn</v>
      </c>
      <c r="T92" t="str">
        <f>WarningConfig!K141</f>
        <v>机油压力过低</v>
      </c>
      <c r="U92" t="str">
        <f>VLOOKUP(T92,UEInput!I:N,2,0)</f>
        <v>Oil pressure low</v>
      </c>
      <c r="V92" t="str">
        <f>VLOOKUP(T92,UEInput!I:N,3,0)</f>
        <v>Перепад давления масла</v>
      </c>
      <c r="W92" t="str">
        <f>VLOOKUP(T92,UEInput!I:N,5,0)</f>
        <v>ضغط الزيت منخفض جدا</v>
      </c>
      <c r="X92" t="str">
        <f>VLOOKUP(T92,UEInput!I:N,4,0)</f>
        <v>فشار روغن موتور بسیار پایین است</v>
      </c>
      <c r="Y92" t="str">
        <f>VLOOKUP(T92,UEInput!I:N,6,0)</f>
        <v>La presión de aceite de motor es demasiado baja</v>
      </c>
    </row>
    <row r="93" spans="1:25">
      <c r="A93" s="14"/>
      <c r="B93" s="34" t="str">
        <f>WarningConfig!O142</f>
        <v>Wrn_OverSpeedWrn</v>
      </c>
      <c r="C93" s="34" t="s">
        <v>472</v>
      </c>
      <c r="D93" s="34" t="s">
        <v>599</v>
      </c>
      <c r="E93" s="34" t="s">
        <v>1099</v>
      </c>
      <c r="F93" s="34" t="s">
        <v>1100</v>
      </c>
      <c r="G93" s="34" t="s">
        <v>1101</v>
      </c>
      <c r="H93" s="34" t="s">
        <v>1102</v>
      </c>
      <c r="I93" s="1"/>
      <c r="J93" s="14"/>
      <c r="K93" s="34" t="str">
        <f>WarningConfig!P142</f>
        <v>WrnList_OverSpeedWrn</v>
      </c>
      <c r="L93" s="35" t="s">
        <v>1058</v>
      </c>
      <c r="M93" s="35" t="s">
        <v>599</v>
      </c>
      <c r="N93" s="35" t="s">
        <v>1099</v>
      </c>
      <c r="O93" s="35" t="s">
        <v>1101</v>
      </c>
      <c r="P93" s="35" t="s">
        <v>1100</v>
      </c>
      <c r="Q93" s="35" t="s">
        <v>1102</v>
      </c>
      <c r="S93" t="str">
        <f>WarningConfig!B142</f>
        <v>OverSpeedWrn</v>
      </c>
      <c r="T93" t="str">
        <f>WarningConfig!K142</f>
        <v>车速过高，请安全驾驶</v>
      </c>
      <c r="U93" t="str">
        <f>VLOOKUP(T93,UEInput!I:N,2,0)</f>
        <v>Over speed</v>
      </c>
      <c r="V93" t="str">
        <f>VLOOKUP(T93,UEInput!I:N,3,0)</f>
        <v>Внимание! Превышение скорости движения!</v>
      </c>
      <c r="W93" t="str">
        <f>VLOOKUP(T93,UEInput!I:N,5,0)</f>
        <v>سرعة القيادة مرتفعة جدا، يرجى القيادة الأمنة</v>
      </c>
      <c r="X93" t="str">
        <f>VLOOKUP(T93,UEInput!I:N,4,0)</f>
        <v>سرعت بیش از حد مجاز</v>
      </c>
      <c r="Y93" t="str">
        <f>VLOOKUP(T93,UEInput!I:N,6,0)</f>
        <v>La velocidad es demasiado alta, por favor, conduzca con seguridad</v>
      </c>
    </row>
    <row r="94" spans="1:25">
      <c r="A94" s="14"/>
      <c r="B94" s="34" t="str">
        <f>WarningConfig!O143</f>
        <v>Wrn_BatteryLowWrn</v>
      </c>
      <c r="C94" s="34" t="s">
        <v>421</v>
      </c>
      <c r="D94" s="34" t="s">
        <v>594</v>
      </c>
      <c r="E94" s="34" t="s">
        <v>1123</v>
      </c>
      <c r="F94" s="34" t="s">
        <v>1124</v>
      </c>
      <c r="G94" s="34" t="s">
        <v>1125</v>
      </c>
      <c r="H94" s="34" t="s">
        <v>1126</v>
      </c>
      <c r="J94" s="14"/>
      <c r="K94" s="34" t="str">
        <f>WarningConfig!P143</f>
        <v>WrnList_BatteryLowWrn</v>
      </c>
      <c r="L94" s="35" t="s">
        <v>421</v>
      </c>
      <c r="M94" s="35" t="s">
        <v>777</v>
      </c>
      <c r="N94" s="35" t="s">
        <v>1123</v>
      </c>
      <c r="O94" s="35" t="s">
        <v>1125</v>
      </c>
      <c r="P94" s="35" t="s">
        <v>1124</v>
      </c>
      <c r="Q94" s="35" t="s">
        <v>1126</v>
      </c>
      <c r="S94" t="str">
        <f>WarningConfig!B143</f>
        <v>BatteryLowWrn</v>
      </c>
      <c r="T94" t="str">
        <f>WarningConfig!K143</f>
        <v>蓄电池电压过低</v>
      </c>
      <c r="U94" t="str">
        <f>VLOOKUP(T94,UEInput!I:N,2,0)</f>
        <v>Battery Voltage Low</v>
      </c>
      <c r="V94" t="str">
        <f>VLOOKUP(T94,UEInput!I:N,3,0)</f>
        <v>Недонапряжение АК</v>
      </c>
      <c r="W94" t="str">
        <f>VLOOKUP(T94,UEInput!I:N,5,0)</f>
        <v>الجهد الكهربائي للبطارية منخفض جدا</v>
      </c>
      <c r="X94" t="str">
        <f>VLOOKUP(T94,UEInput!I:N,4,0)</f>
        <v>ولتاژ باتری بسیار پایین</v>
      </c>
      <c r="Y94" t="str">
        <f>VLOOKUP(T94,UEInput!I:N,6,0)</f>
        <v>La tensión de la batería es demasiado baja</v>
      </c>
    </row>
    <row r="95" spans="1:25">
      <c r="A95" s="14"/>
      <c r="B95" s="34" t="str">
        <f>WarningConfig!O144</f>
        <v>Wrn_BrakeNotReleaseWrn</v>
      </c>
      <c r="C95" s="34" t="s">
        <v>423</v>
      </c>
      <c r="D95" s="34" t="s">
        <v>1031</v>
      </c>
      <c r="E95" s="34" t="s">
        <v>1131</v>
      </c>
      <c r="F95" s="34" t="s">
        <v>1132</v>
      </c>
      <c r="G95" s="34" t="s">
        <v>1133</v>
      </c>
      <c r="H95" s="34" t="s">
        <v>1134</v>
      </c>
      <c r="J95" s="14"/>
      <c r="K95" s="34" t="str">
        <f>WarningConfig!P144</f>
        <v>WrnList_BrakeNotReleaseWrn</v>
      </c>
      <c r="L95" s="35" t="s">
        <v>423</v>
      </c>
      <c r="M95" s="35" t="s">
        <v>1068</v>
      </c>
      <c r="N95" s="35" t="s">
        <v>1131</v>
      </c>
      <c r="O95" s="35" t="s">
        <v>1133</v>
      </c>
      <c r="P95" s="35" t="s">
        <v>1132</v>
      </c>
      <c r="Q95" s="35" t="s">
        <v>1134</v>
      </c>
      <c r="S95" t="str">
        <f>WarningConfig!B144</f>
        <v>BrakeNotReleaseWrn</v>
      </c>
      <c r="T95" t="str">
        <f>WarningConfig!K144</f>
        <v>驻车制动未解除</v>
      </c>
      <c r="U95" t="str">
        <f>VLOOKUP(T95,UEInput!I:N,2,0)</f>
        <v>Parking Brake Not Release</v>
      </c>
      <c r="V95" t="str">
        <f>VLOOKUP(T95,UEInput!I:N,3,0)</f>
        <v>Стояночный тормоз не выключен</v>
      </c>
      <c r="W95" t="str">
        <f>VLOOKUP(T95,UEInput!I:N,5,0)</f>
        <v>لم يرفع فرامل اليد</v>
      </c>
      <c r="X95" t="str">
        <f>VLOOKUP(T95,UEInput!I:N,4,0)</f>
        <v>ترمز دستی رها نشده است</v>
      </c>
      <c r="Y95" t="str">
        <f>VLOOKUP(T95,UEInput!I:N,6,0)</f>
        <v>El freno de estacionamiento no se levanta</v>
      </c>
    </row>
    <row r="96" spans="1:25">
      <c r="A96" s="14"/>
      <c r="B96" s="34" t="str">
        <f>WarningConfig!O145</f>
        <v>Wrn_HighCoolantWrn</v>
      </c>
      <c r="C96" s="34" t="s">
        <v>425</v>
      </c>
      <c r="D96" s="34" t="s">
        <v>716</v>
      </c>
      <c r="E96" s="34" t="s">
        <v>1135</v>
      </c>
      <c r="F96" s="34" t="s">
        <v>1136</v>
      </c>
      <c r="G96" s="34" t="s">
        <v>1137</v>
      </c>
      <c r="H96" s="34" t="s">
        <v>1138</v>
      </c>
      <c r="J96" s="14"/>
      <c r="K96" s="34" t="str">
        <f>WarningConfig!P145</f>
        <v>WrnList_HighCoolantWrn</v>
      </c>
      <c r="L96" s="35" t="s">
        <v>425</v>
      </c>
      <c r="M96" s="35" t="s">
        <v>763</v>
      </c>
      <c r="N96" s="35" t="s">
        <v>1135</v>
      </c>
      <c r="O96" s="35" t="s">
        <v>1137</v>
      </c>
      <c r="P96" s="35" t="s">
        <v>1136</v>
      </c>
      <c r="Q96" s="35" t="s">
        <v>1138</v>
      </c>
      <c r="S96" t="str">
        <f>WarningConfig!B145</f>
        <v>HighCoolantWrn</v>
      </c>
      <c r="T96" t="str">
        <f>WarningConfig!K145</f>
        <v>发动机水温过高</v>
      </c>
      <c r="U96" t="str">
        <f>VLOOKUP(T96,UEInput!I:N,2,0)</f>
        <v>Engine Coolant
Temperature High</v>
      </c>
      <c r="V96" t="str">
        <f>VLOOKUP(T96,UEInput!I:N,3,0)</f>
        <v>Перегрев ОЖ двигателя</v>
      </c>
      <c r="W96" t="str">
        <f>VLOOKUP(T96,UEInput!I:N,5,0)</f>
        <v>درجة حرارة مياه المحرك مرتفعة جدا</v>
      </c>
      <c r="X96" t="str">
        <f>VLOOKUP(T96,UEInput!I:N,4,0)</f>
        <v>حرارت آب موتور بسیار بالا است</v>
      </c>
      <c r="Y96" t="str">
        <f>VLOOKUP(T96,UEInput!I:N,6,0)</f>
        <v>La temperatura del agua de motor es demasiado alta</v>
      </c>
    </row>
    <row r="97" spans="1:25">
      <c r="A97" s="14"/>
      <c r="B97" s="34" t="str">
        <f>WarningConfig!O146</f>
        <v>Wrn_AirbagErrorWrn</v>
      </c>
      <c r="C97" s="34" t="s">
        <v>427</v>
      </c>
      <c r="D97" s="34" t="s">
        <v>591</v>
      </c>
      <c r="E97" s="34" t="s">
        <v>1139</v>
      </c>
      <c r="F97" s="34" t="s">
        <v>1140</v>
      </c>
      <c r="G97" s="34" t="s">
        <v>1141</v>
      </c>
      <c r="H97" s="34" t="s">
        <v>1142</v>
      </c>
      <c r="J97" s="14"/>
      <c r="K97" s="34" t="str">
        <f>WarningConfig!P146</f>
        <v>WrnList_AirbagErrorWrn</v>
      </c>
      <c r="L97" s="35" t="s">
        <v>427</v>
      </c>
      <c r="M97" s="35" t="s">
        <v>591</v>
      </c>
      <c r="N97" s="35" t="s">
        <v>1139</v>
      </c>
      <c r="O97" s="35" t="s">
        <v>1141</v>
      </c>
      <c r="P97" s="35" t="s">
        <v>1140</v>
      </c>
      <c r="Q97" s="35" t="s">
        <v>1142</v>
      </c>
      <c r="S97" t="str">
        <f>WarningConfig!B146</f>
        <v>AirbagErrorWrn</v>
      </c>
      <c r="T97" t="str">
        <f>WarningConfig!K146</f>
        <v>安全气囊故障</v>
      </c>
      <c r="U97" t="str">
        <f>VLOOKUP(T97,UEInput!I:N,2,0)</f>
        <v>Airbag Failure</v>
      </c>
      <c r="V97" t="str">
        <f>VLOOKUP(T97,UEInput!I:N,3,0)</f>
        <v>Неисправность подушек безопасности</v>
      </c>
      <c r="W97" t="str">
        <f>VLOOKUP(T97,UEInput!I:N,5,0)</f>
        <v>خطأ الوسادة الهوائية</v>
      </c>
      <c r="X97" t="str">
        <f>VLOOKUP(T97,UEInput!I:N,4,0)</f>
        <v>نقص کیسه هوا</v>
      </c>
      <c r="Y97" t="str">
        <f>VLOOKUP(T97,UEInput!I:N,6,0)</f>
        <v>Avería de bolsa de aire</v>
      </c>
    </row>
    <row r="98" spans="1:25">
      <c r="A98" s="14"/>
      <c r="B98" s="34" t="str">
        <f>WarningConfig!O147</f>
        <v>Wrn_TCUWarningYellowWrn</v>
      </c>
      <c r="C98" s="34" t="s">
        <v>429</v>
      </c>
      <c r="D98" s="34" t="s">
        <v>724</v>
      </c>
      <c r="E98" s="34" t="s">
        <v>1167</v>
      </c>
      <c r="F98" s="34" t="s">
        <v>1168</v>
      </c>
      <c r="G98" s="34" t="s">
        <v>1169</v>
      </c>
      <c r="H98" s="34" t="s">
        <v>1170</v>
      </c>
      <c r="J98" s="14"/>
      <c r="K98" s="34" t="str">
        <f>WarningConfig!P147</f>
        <v>WrnList_TCUWarningYellowWrn</v>
      </c>
      <c r="L98" s="35" t="s">
        <v>429</v>
      </c>
      <c r="M98" s="35" t="s">
        <v>735</v>
      </c>
      <c r="N98" s="35" t="s">
        <v>1167</v>
      </c>
      <c r="O98" s="35" t="s">
        <v>1169</v>
      </c>
      <c r="P98" s="35" t="s">
        <v>1168</v>
      </c>
      <c r="Q98" s="35" t="s">
        <v>1170</v>
      </c>
      <c r="S98" t="str">
        <f>WarningConfig!B147</f>
        <v>TCUWarningYellowWrn</v>
      </c>
      <c r="T98" t="str">
        <f>WarningConfig!K147</f>
        <v>减速并联系售后服务</v>
      </c>
      <c r="U98" t="str">
        <f>VLOOKUP(T98,UEInput!I:N,2,0)</f>
        <v>Slow Down and Contact Service</v>
      </c>
      <c r="V98" t="str">
        <f>VLOOKUP(T98,UEInput!I:N,3,0)</f>
        <v>Снизить скорость и связывайте с пунктом послепродажного обслуживания</v>
      </c>
      <c r="W98" t="str">
        <f>VLOOKUP(T98,UEInput!I:N,5,0)</f>
        <v>قم بالتباطؤ والاتصال بمركز الخدمة</v>
      </c>
      <c r="X98" t="str">
        <f>VLOOKUP(T98,UEInput!I:N,4,0)</f>
        <v>سرعت را پایین بیاورید و با واحد خدمات پس از فروش تماس بگیرید</v>
      </c>
      <c r="Y98" t="str">
        <f>VLOOKUP(T98,UEInput!I:N,6,0)</f>
        <v>Aminore la velocidad y contacte con el servicio de post-venta</v>
      </c>
    </row>
    <row r="99" spans="1:25">
      <c r="A99" s="14"/>
      <c r="B99" s="34" t="str">
        <f>WarningConfig!O148</f>
        <v>Wrn_TCUWarningRedWrn</v>
      </c>
      <c r="C99" s="34" t="s">
        <v>431</v>
      </c>
      <c r="D99" s="34" t="s">
        <v>717</v>
      </c>
      <c r="E99" s="34" t="s">
        <v>1171</v>
      </c>
      <c r="F99" s="34" t="s">
        <v>1172</v>
      </c>
      <c r="G99" s="34" t="s">
        <v>1173</v>
      </c>
      <c r="H99" s="34" t="s">
        <v>1174</v>
      </c>
      <c r="J99" s="14"/>
      <c r="K99" s="34" t="str">
        <f>WarningConfig!P148</f>
        <v>WrnList_TCUWarningRedWrn</v>
      </c>
      <c r="L99" s="35" t="s">
        <v>1059</v>
      </c>
      <c r="M99" s="35" t="s">
        <v>735</v>
      </c>
      <c r="N99" s="35" t="s">
        <v>1171</v>
      </c>
      <c r="O99" s="35" t="s">
        <v>1173</v>
      </c>
      <c r="P99" s="35" t="s">
        <v>1172</v>
      </c>
      <c r="Q99" s="35" t="s">
        <v>1174</v>
      </c>
      <c r="S99" t="str">
        <f>WarningConfig!B148</f>
        <v>TCUWarningRedWrn</v>
      </c>
      <c r="T99" t="str">
        <f>WarningConfig!K148</f>
        <v>减速停车并联系售后服务</v>
      </c>
      <c r="U99" t="str">
        <f>VLOOKUP(T99,UEInput!I:N,2,0)</f>
        <v>Slow Down and Stop
and Contact Service</v>
      </c>
      <c r="V99" t="str">
        <f>VLOOKUP(T99,UEInput!I:N,3,0)</f>
        <v>Снизить скорость, остановить машину и связывайте с пунктом послепродажного обслуживания</v>
      </c>
      <c r="W99" t="str">
        <f>VLOOKUP(T99,UEInput!I:N,5,0)</f>
        <v>قم بالتباطؤ والوقوف والاتصال بمركز الخدمة</v>
      </c>
      <c r="X99" t="str">
        <f>VLOOKUP(T99,UEInput!I:N,4,0)</f>
        <v>سرعت را پایین آورده و خودرو را پارک کرده و با واحد خدمات پس از فروش تماس بگیرید</v>
      </c>
      <c r="Y99" t="str">
        <f>VLOOKUP(T99,UEInput!I:N,6,0)</f>
        <v>Aminore la velocidad hasta parar y contacte con el servicio de post-venta</v>
      </c>
    </row>
    <row r="100" spans="1:25">
      <c r="A100" s="14"/>
      <c r="B100" s="34" t="str">
        <f>WarningConfig!O149</f>
        <v>Wrn_EpasFailWrn</v>
      </c>
      <c r="C100" s="34" t="s">
        <v>433</v>
      </c>
      <c r="D100" s="34" t="s">
        <v>572</v>
      </c>
      <c r="E100" s="34" t="s">
        <v>1231</v>
      </c>
      <c r="F100" s="34" t="s">
        <v>1232</v>
      </c>
      <c r="G100" s="34" t="s">
        <v>1233</v>
      </c>
      <c r="H100" s="34" t="s">
        <v>1234</v>
      </c>
      <c r="J100" s="14"/>
      <c r="K100" s="34" t="str">
        <f>WarningConfig!P149</f>
        <v>WrnList_EpasFailWrn</v>
      </c>
      <c r="L100" s="35" t="s">
        <v>433</v>
      </c>
      <c r="M100" s="35" t="s">
        <v>572</v>
      </c>
      <c r="N100" s="35" t="s">
        <v>1231</v>
      </c>
      <c r="O100" s="35" t="s">
        <v>1233</v>
      </c>
      <c r="P100" s="35" t="s">
        <v>1232</v>
      </c>
      <c r="Q100" s="35" t="s">
        <v>1234</v>
      </c>
      <c r="S100" t="str">
        <f>WarningConfig!B149</f>
        <v>EpasFailWrn</v>
      </c>
      <c r="T100" t="str">
        <f>WarningConfig!K149</f>
        <v>电动助力转向故障</v>
      </c>
      <c r="U100" t="str">
        <f>VLOOKUP(T100,UEInput!I:N,2,0)</f>
        <v>EPS Failure</v>
      </c>
      <c r="V100" t="str">
        <f>VLOOKUP(T100,UEInput!I:N,3,0)</f>
        <v>Неисправность электроусилителя руля</v>
      </c>
      <c r="W100" t="str">
        <f>VLOOKUP(T100,UEInput!I:N,5,0)</f>
        <v>فشل جهاز التوجيه الكهربائي</v>
      </c>
      <c r="X100" t="str">
        <f>VLOOKUP(T100,UEInput!I:N,4,0)</f>
        <v>نقص فرمان برقی</v>
      </c>
      <c r="Y100" t="str">
        <f>VLOOKUP(T100,UEInput!I:N,6,0)</f>
        <v>Avería de dirección asistida eléctrica</v>
      </c>
    </row>
    <row r="101" spans="1:25">
      <c r="A101" s="14"/>
      <c r="B101" s="34" t="str">
        <f>WarningConfig!O150</f>
        <v>Wrn_EPBErrorWrn</v>
      </c>
      <c r="C101" s="34" t="s">
        <v>435</v>
      </c>
      <c r="D101" s="34" t="s">
        <v>569</v>
      </c>
      <c r="E101" s="34" t="s">
        <v>1243</v>
      </c>
      <c r="F101" s="34" t="s">
        <v>1244</v>
      </c>
      <c r="G101" s="34" t="s">
        <v>1245</v>
      </c>
      <c r="H101" s="34" t="s">
        <v>1246</v>
      </c>
      <c r="J101" s="14"/>
      <c r="K101" s="34" t="str">
        <f>WarningConfig!P150</f>
        <v>WrnList_EPBErrorWrn</v>
      </c>
      <c r="L101" s="35" t="s">
        <v>435</v>
      </c>
      <c r="M101" s="35" t="s">
        <v>569</v>
      </c>
      <c r="N101" s="35" t="s">
        <v>1243</v>
      </c>
      <c r="O101" s="35" t="s">
        <v>1245</v>
      </c>
      <c r="P101" s="35" t="s">
        <v>1244</v>
      </c>
      <c r="Q101" s="35" t="s">
        <v>1246</v>
      </c>
      <c r="S101" t="str">
        <f>WarningConfig!B150</f>
        <v>EPBErrorWrn</v>
      </c>
      <c r="T101" t="str">
        <f>WarningConfig!K150</f>
        <v>电子驻车系统故障</v>
      </c>
      <c r="U101" t="str">
        <f>VLOOKUP(T101,UEInput!I:N,2,0)</f>
        <v>EPB Failure</v>
      </c>
      <c r="V101" t="str">
        <f>VLOOKUP(T101,UEInput!I:N,3,0)</f>
        <v>Неисправность системы электронного стояночного тормоза</v>
      </c>
      <c r="W101" t="str">
        <f>VLOOKUP(T101,UEInput!I:N,5,0)</f>
        <v>فشل نظام وقوف المركبة الإلكتروني</v>
      </c>
      <c r="X101" t="str">
        <f>VLOOKUP(T101,UEInput!I:N,4,0)</f>
        <v>نقص سیستم ترمز پارک برقی</v>
      </c>
      <c r="Y101" t="str">
        <f>VLOOKUP(T101,UEInput!I:N,6,0)</f>
        <v>Avería del sistema de estacionamiento electrónico</v>
      </c>
    </row>
    <row r="102" spans="1:25">
      <c r="A102" s="14"/>
      <c r="B102" s="34" t="str">
        <f>WarningConfig!O151</f>
        <v>Wrn_AVHErrorWrn</v>
      </c>
      <c r="C102" s="34" t="s">
        <v>437</v>
      </c>
      <c r="D102" s="34" t="s">
        <v>567</v>
      </c>
      <c r="E102" s="34" t="s">
        <v>1251</v>
      </c>
      <c r="F102" s="34" t="s">
        <v>1252</v>
      </c>
      <c r="G102" s="34" t="s">
        <v>1253</v>
      </c>
      <c r="H102" s="34" t="s">
        <v>1254</v>
      </c>
      <c r="J102" s="14"/>
      <c r="K102" s="34" t="str">
        <f>WarningConfig!P151</f>
        <v>WrnList_AVHErrorWrn</v>
      </c>
      <c r="L102" s="35" t="s">
        <v>437</v>
      </c>
      <c r="M102" s="35" t="s">
        <v>567</v>
      </c>
      <c r="N102" s="35" t="s">
        <v>1251</v>
      </c>
      <c r="O102" s="35" t="s">
        <v>1253</v>
      </c>
      <c r="P102" s="35" t="s">
        <v>1252</v>
      </c>
      <c r="Q102" s="35" t="s">
        <v>1254</v>
      </c>
      <c r="S102" t="str">
        <f>WarningConfig!B151</f>
        <v>AVHErrorWrn</v>
      </c>
      <c r="T102" t="str">
        <f>WarningConfig!K151</f>
        <v>自动驻车功能故障</v>
      </c>
      <c r="U102" t="str">
        <f>VLOOKUP(T102,UEInput!I:N,2,0)</f>
        <v>AutoHold Failure</v>
      </c>
      <c r="V102" t="str">
        <f>VLOOKUP(T102,UEInput!I:N,3,0)</f>
        <v>Неисправность функции автоматического стояночного тормоза</v>
      </c>
      <c r="W102" t="str">
        <f>VLOOKUP(T102,UEInput!I:N,5,0)</f>
        <v>فشل وظيفة وقوف المركبة التلقائي</v>
      </c>
      <c r="X102" t="str">
        <f>VLOOKUP(T102,UEInput!I:N,4,0)</f>
        <v>نقص سیستم ترمز پارک اتوماتیک</v>
      </c>
      <c r="Y102" t="str">
        <f>VLOOKUP(T102,UEInput!I:N,6,0)</f>
        <v>Avería de la función de estacionamiento automático</v>
      </c>
    </row>
    <row r="103" spans="1:25">
      <c r="A103" s="14"/>
      <c r="B103" s="34" t="str">
        <f>WarningConfig!O152</f>
        <v>Wrn_ParkBreakFailWrn</v>
      </c>
      <c r="C103" s="34" t="s">
        <v>439</v>
      </c>
      <c r="D103" s="34" t="s">
        <v>565</v>
      </c>
      <c r="E103" s="34" t="s">
        <v>1259</v>
      </c>
      <c r="F103" s="34" t="s">
        <v>1260</v>
      </c>
      <c r="G103" s="34" t="s">
        <v>1261</v>
      </c>
      <c r="H103" s="34" t="s">
        <v>1262</v>
      </c>
      <c r="J103" s="14"/>
      <c r="K103" s="34" t="str">
        <f>WarningConfig!P152</f>
        <v>WrnList_ParkBreakFailWrn</v>
      </c>
      <c r="L103" s="35" t="s">
        <v>439</v>
      </c>
      <c r="M103" s="35" t="s">
        <v>736</v>
      </c>
      <c r="N103" s="35" t="s">
        <v>1259</v>
      </c>
      <c r="O103" s="35" t="s">
        <v>1261</v>
      </c>
      <c r="P103" s="35" t="s">
        <v>1260</v>
      </c>
      <c r="Q103" s="35" t="s">
        <v>1262</v>
      </c>
      <c r="S103" t="str">
        <f>WarningConfig!B152</f>
        <v>ParkBreakFailWrn</v>
      </c>
      <c r="T103" t="str">
        <f>WarningConfig!K152</f>
        <v>驻车制动功能失效</v>
      </c>
      <c r="U103" t="str">
        <f>VLOOKUP(T103,UEInput!I:N,2,0)</f>
        <v>Parking Brake Failure</v>
      </c>
      <c r="V103" t="str">
        <f>VLOOKUP(T103,UEInput!I:N,3,0)</f>
        <v>Выход из строя функции стояночного тормоза</v>
      </c>
      <c r="W103" t="str">
        <f>VLOOKUP(T103,UEInput!I:N,5,0)</f>
        <v>فشل وظيفة وقوف المركبة</v>
      </c>
      <c r="X103" t="str">
        <f>VLOOKUP(T103,UEInput!I:N,4,0)</f>
        <v>ترمز دستی خراب است</v>
      </c>
      <c r="Y103" t="str">
        <f>VLOOKUP(T103,UEInput!I:N,6,0)</f>
        <v>Función fracasa de freno de estacionamiento</v>
      </c>
    </row>
    <row r="104" spans="1:25">
      <c r="A104" s="14"/>
      <c r="B104" s="34" t="str">
        <f>WarningConfig!O153</f>
        <v>Wrn_EBDFailWrn</v>
      </c>
      <c r="C104" s="34" t="s">
        <v>441</v>
      </c>
      <c r="D104" s="34" t="s">
        <v>564</v>
      </c>
      <c r="E104" s="34" t="s">
        <v>1263</v>
      </c>
      <c r="F104" s="34" t="s">
        <v>1264</v>
      </c>
      <c r="G104" s="34" t="s">
        <v>1265</v>
      </c>
      <c r="H104" s="34" t="s">
        <v>1266</v>
      </c>
      <c r="J104" s="14"/>
      <c r="K104" s="34" t="str">
        <f>WarningConfig!P153</f>
        <v>WrnList_EBDFailWrn</v>
      </c>
      <c r="L104" s="35" t="s">
        <v>1060</v>
      </c>
      <c r="M104" s="35" t="s">
        <v>564</v>
      </c>
      <c r="N104" s="35" t="s">
        <v>1263</v>
      </c>
      <c r="O104" s="35" t="s">
        <v>1265</v>
      </c>
      <c r="P104" s="35" t="s">
        <v>1264</v>
      </c>
      <c r="Q104" s="35" t="s">
        <v>1266</v>
      </c>
      <c r="S104" t="str">
        <f>WarningConfig!B153</f>
        <v>EBDFailWrn</v>
      </c>
      <c r="T104" t="str">
        <f>WarningConfig!K153</f>
        <v>液压制动助力辅助工作不正常</v>
      </c>
      <c r="U104" t="str">
        <f>VLOOKUP(T104,UEInput!I:N,2,0)</f>
        <v>HBB Abnormal</v>
      </c>
      <c r="V104" t="str">
        <f>VLOOKUP(T104,UEInput!I:N,3,0)</f>
        <v>Неисправность работы гидроусилителя торможения</v>
      </c>
      <c r="W104" t="str">
        <f>VLOOKUP(T104,UEInput!I:N,5,0)</f>
        <v>مساعد الفرامل الهيدروليكي لا يعمل بشكل صحيح</v>
      </c>
      <c r="X104" t="str">
        <f>VLOOKUP(T104,UEInput!I:N,4,0)</f>
        <v>سیستم کمکی ترمز هیدرولیک با نحو درست کار نمی کند</v>
      </c>
      <c r="Y104" t="str">
        <f>VLOOKUP(T104,UEInput!I:N,6,0)</f>
        <v>La asistencia de servofreno hidráulico no funciona correctamente</v>
      </c>
    </row>
    <row r="105" spans="1:25">
      <c r="A105" s="14"/>
      <c r="B105" s="34" t="str">
        <f>WarningConfig!O154</f>
        <v>Wrn_EBDDisableWrn</v>
      </c>
      <c r="C105" s="34" t="s">
        <v>443</v>
      </c>
      <c r="D105" s="34" t="s">
        <v>563</v>
      </c>
      <c r="E105" s="34" t="s">
        <v>1267</v>
      </c>
      <c r="F105" s="34" t="s">
        <v>1268</v>
      </c>
      <c r="G105" s="34" t="s">
        <v>1269</v>
      </c>
      <c r="H105" s="34" t="s">
        <v>1270</v>
      </c>
      <c r="J105" s="14"/>
      <c r="K105" s="34" t="str">
        <f>WarningConfig!P154</f>
        <v>WrnList_EBDDisableWrn</v>
      </c>
      <c r="L105" s="35" t="s">
        <v>1061</v>
      </c>
      <c r="M105" s="35" t="s">
        <v>563</v>
      </c>
      <c r="N105" s="35" t="s">
        <v>1267</v>
      </c>
      <c r="O105" s="35" t="s">
        <v>1269</v>
      </c>
      <c r="P105" s="35" t="s">
        <v>1268</v>
      </c>
      <c r="Q105" s="35" t="s">
        <v>1270</v>
      </c>
      <c r="S105" t="str">
        <f>WarningConfig!B154</f>
        <v>EBDDisableWrn</v>
      </c>
      <c r="T105" t="str">
        <f>WarningConfig!K154</f>
        <v>液压制动助力辅助失效</v>
      </c>
      <c r="U105" t="str">
        <f>VLOOKUP(T105,UEInput!I:N,2,0)</f>
        <v>HBB Failure</v>
      </c>
      <c r="V105" t="str">
        <f>VLOOKUP(T105,UEInput!I:N,3,0)</f>
        <v>Выход из строя гидроусилителя торможения</v>
      </c>
      <c r="W105" t="str">
        <f>VLOOKUP(T105,UEInput!I:N,5,0)</f>
        <v>فشل مساعد الفرامل الهيدروليكي</v>
      </c>
      <c r="X105" t="str">
        <f>VLOOKUP(T105,UEInput!I:N,4,0)</f>
        <v>سیستم کمکی ترمز هیدرولیک خراب است</v>
      </c>
      <c r="Y105" t="str">
        <f>VLOOKUP(T105,UEInput!I:N,6,0)</f>
        <v>Falla de asistencia de servofreno hidráulico</v>
      </c>
    </row>
    <row r="106" spans="1:25">
      <c r="A106" s="14"/>
      <c r="B106" s="34" t="str">
        <f>WarningConfig!O155</f>
        <v>Wrn_HHCErrorWrn</v>
      </c>
      <c r="C106" s="34" t="s">
        <v>445</v>
      </c>
      <c r="D106" s="34" t="s">
        <v>562</v>
      </c>
      <c r="E106" s="34" t="s">
        <v>1271</v>
      </c>
      <c r="F106" s="34" t="s">
        <v>1272</v>
      </c>
      <c r="G106" s="34" t="s">
        <v>1273</v>
      </c>
      <c r="H106" s="34" t="s">
        <v>1274</v>
      </c>
      <c r="J106" s="14"/>
      <c r="K106" s="34" t="str">
        <f>WarningConfig!P155</f>
        <v>WrnList_HHCErrorWrn</v>
      </c>
      <c r="L106" s="35" t="s">
        <v>445</v>
      </c>
      <c r="M106" s="35" t="s">
        <v>562</v>
      </c>
      <c r="N106" s="35" t="s">
        <v>1271</v>
      </c>
      <c r="O106" s="35" t="s">
        <v>1273</v>
      </c>
      <c r="P106" s="35" t="s">
        <v>1272</v>
      </c>
      <c r="Q106" s="35" t="s">
        <v>1274</v>
      </c>
      <c r="S106" t="str">
        <f>WarningConfig!B155</f>
        <v>HHCErrorWrn</v>
      </c>
      <c r="T106" t="str">
        <f>WarningConfig!K155</f>
        <v>坡道辅助功能故障</v>
      </c>
      <c r="U106" t="str">
        <f>VLOOKUP(T106,UEInput!I:N,2,0)</f>
        <v>HHC Failure</v>
      </c>
      <c r="V106" t="str">
        <f>VLOOKUP(T106,UEInput!I:N,3,0)</f>
        <v>Отказ системы помощи на уклоне</v>
      </c>
      <c r="W106" t="str">
        <f>VLOOKUP(T106,UEInput!I:N,5,0)</f>
        <v>فشل نظام المساعدة في المنحدرات</v>
      </c>
      <c r="X106" t="str">
        <f>VLOOKUP(T106,UEInput!I:N,4,0)</f>
        <v>نقص سیستم کنترل در سربالایی</v>
      </c>
      <c r="Y106" t="str">
        <f>VLOOKUP(T106,UEInput!I:N,6,0)</f>
        <v>Avería de la función de asistencia de rampa</v>
      </c>
    </row>
    <row r="107" spans="1:25">
      <c r="A107" s="14"/>
      <c r="B107" s="34" t="str">
        <f>WarningConfig!O156</f>
        <v>Wrn_HDCErrorWrn</v>
      </c>
      <c r="C107" s="34" t="s">
        <v>447</v>
      </c>
      <c r="D107" s="34" t="s">
        <v>561</v>
      </c>
      <c r="E107" s="34" t="s">
        <v>1275</v>
      </c>
      <c r="F107" s="34" t="s">
        <v>1276</v>
      </c>
      <c r="G107" s="34" t="s">
        <v>1277</v>
      </c>
      <c r="H107" s="34" t="s">
        <v>1278</v>
      </c>
      <c r="J107" s="14"/>
      <c r="K107" s="34" t="str">
        <f>WarningConfig!P156</f>
        <v>WrnList_HDCErrorWrn</v>
      </c>
      <c r="L107" s="35" t="s">
        <v>447</v>
      </c>
      <c r="M107" s="35" t="s">
        <v>561</v>
      </c>
      <c r="N107" s="35" t="s">
        <v>1275</v>
      </c>
      <c r="O107" s="35" t="s">
        <v>1277</v>
      </c>
      <c r="P107" s="35" t="s">
        <v>1276</v>
      </c>
      <c r="Q107" s="35" t="s">
        <v>1278</v>
      </c>
      <c r="S107" t="str">
        <f>WarningConfig!B156</f>
        <v>HDCErrorWrn</v>
      </c>
      <c r="T107" t="str">
        <f>WarningConfig!K156</f>
        <v>陡坡缓降故障</v>
      </c>
      <c r="U107" t="str">
        <f>VLOOKUP(T107,UEInput!I:N,2,0)</f>
        <v>HDC Failure</v>
      </c>
      <c r="V107" t="str">
        <f>VLOOKUP(T107,UEInput!I:N,3,0)</f>
        <v>Отказ системы помощи при спуске</v>
      </c>
      <c r="W107" t="str">
        <f>VLOOKUP(T107,UEInput!I:N,5,0)</f>
        <v>فشل نظام التحكم بالإنحدار</v>
      </c>
      <c r="X107" t="str">
        <f>VLOOKUP(T107,UEInput!I:N,4,0)</f>
        <v>نقص در سیستم کنترل حرکت در سرازیری</v>
      </c>
      <c r="Y107" t="str">
        <f>VLOOKUP(T107,UEInput!I:N,6,0)</f>
        <v>Avería de descenso de pendientes</v>
      </c>
    </row>
    <row r="108" spans="1:25">
      <c r="A108" s="14"/>
      <c r="B108" s="34" t="str">
        <f>WarningConfig!O157</f>
        <v>Wrn_FollowMeHomeWrn</v>
      </c>
      <c r="C108" s="34" t="s">
        <v>274</v>
      </c>
      <c r="D108" s="34" t="s">
        <v>546</v>
      </c>
      <c r="E108" s="34" t="s">
        <v>1363</v>
      </c>
      <c r="F108" s="34" t="s">
        <v>1364</v>
      </c>
      <c r="G108" s="34" t="s">
        <v>1529</v>
      </c>
      <c r="H108" s="34" t="s">
        <v>1365</v>
      </c>
      <c r="J108" s="14"/>
      <c r="K108" s="34" t="str">
        <f>WarningConfig!P157</f>
        <v>WrnList_FollowMeHomeWrn</v>
      </c>
      <c r="L108" s="35" t="s">
        <v>274</v>
      </c>
      <c r="M108" s="35" t="s">
        <v>546</v>
      </c>
      <c r="N108" s="35" t="s">
        <v>1363</v>
      </c>
      <c r="O108" s="35" t="s">
        <v>1529</v>
      </c>
      <c r="P108" s="35" t="s">
        <v>1364</v>
      </c>
      <c r="Q108" s="35" t="s">
        <v>1365</v>
      </c>
      <c r="S108" t="str">
        <f>WarningConfig!B157</f>
        <v>FollowMeHomeWrn</v>
      </c>
      <c r="T108" t="str">
        <f>WarningConfig!K157</f>
        <v>伴我回家开启</v>
      </c>
      <c r="U108" t="str">
        <f>VLOOKUP(T108,UEInput!I:N,2,0)</f>
        <v>Follow me home</v>
      </c>
      <c r="V108" t="str">
        <f>VLOOKUP(T108,UEInput!I:N,3,0)</f>
        <v>Включена системы сопровождения домой со мной</v>
      </c>
      <c r="W108" t="str">
        <f>VLOOKUP(T108,UEInput!I:N,5,0)</f>
        <v>تشغيل وظيفة مرافقة لي للعودة الي المنزل</v>
      </c>
      <c r="X108" t="str">
        <f>VLOOKUP(T108,UEInput!I:N,4,0)</f>
        <v>کاربرد "با من به خانه بروید" فعال است</v>
      </c>
      <c r="Y108" t="str">
        <f>VLOOKUP(T108,UEInput!I:N,6,0)</f>
        <v>Abrir la función de acompañarme a casa</v>
      </c>
    </row>
    <row r="109" spans="1:25">
      <c r="A109" s="14"/>
      <c r="B109" s="34" t="str">
        <f>WarningConfig!O158</f>
        <v>Wrn_PressClutchToStartWrn</v>
      </c>
      <c r="C109" s="34" t="s">
        <v>327</v>
      </c>
      <c r="D109" s="34" t="s">
        <v>545</v>
      </c>
      <c r="E109" s="34" t="s">
        <v>473</v>
      </c>
      <c r="F109" s="34" t="s">
        <v>473</v>
      </c>
      <c r="G109" s="34" t="s">
        <v>473</v>
      </c>
      <c r="H109" s="34" t="s">
        <v>473</v>
      </c>
      <c r="J109" s="14"/>
      <c r="K109" s="34" t="str">
        <f>WarningConfig!P158</f>
        <v>WrnList_PressClutchToStartWrn</v>
      </c>
      <c r="L109" s="35" t="s">
        <v>327</v>
      </c>
      <c r="M109" s="35" t="s">
        <v>545</v>
      </c>
      <c r="N109" s="35" t="s">
        <v>473</v>
      </c>
      <c r="O109" s="35" t="s">
        <v>473</v>
      </c>
      <c r="P109" s="35" t="s">
        <v>473</v>
      </c>
      <c r="Q109" s="35" t="s">
        <v>473</v>
      </c>
      <c r="S109" t="str">
        <f>WarningConfig!B158</f>
        <v>PressClutchToStartWrn</v>
      </c>
      <c r="T109" t="str">
        <f>WarningConfig!K158</f>
        <v>请踩离合启动</v>
      </c>
      <c r="U109" t="str">
        <f>VLOOKUP(T109,UEInput!I:N,2,0)</f>
        <v>Press Clutch</v>
      </c>
      <c r="V109" t="str">
        <f>VLOOKUP(T109,UEInput!I:N,3,0)</f>
        <v>NA</v>
      </c>
      <c r="W109" t="str">
        <f>VLOOKUP(T109,UEInput!I:N,5,0)</f>
        <v>NA</v>
      </c>
      <c r="X109" t="str">
        <f>VLOOKUP(T109,UEInput!I:N,4,0)</f>
        <v>NA</v>
      </c>
      <c r="Y109" t="str">
        <f>VLOOKUP(T109,UEInput!I:N,6,0)</f>
        <v>NA</v>
      </c>
    </row>
    <row r="110" spans="1:25">
      <c r="A110" s="14"/>
      <c r="B110" s="34" t="str">
        <f>WarningConfig!O159</f>
        <v>Wrn_BrakeLampFailWrn</v>
      </c>
      <c r="C110" s="34" t="s">
        <v>276</v>
      </c>
      <c r="D110" s="34" t="s">
        <v>543</v>
      </c>
      <c r="E110" s="34" t="s">
        <v>1366</v>
      </c>
      <c r="F110" s="34" t="s">
        <v>1367</v>
      </c>
      <c r="G110" s="34" t="s">
        <v>1530</v>
      </c>
      <c r="H110" s="34" t="s">
        <v>1368</v>
      </c>
      <c r="J110" s="14"/>
      <c r="K110" s="34" t="str">
        <f>WarningConfig!P159</f>
        <v>WrnList_BrakeLampFailWrn</v>
      </c>
      <c r="L110" s="35" t="s">
        <v>276</v>
      </c>
      <c r="M110" s="35" t="s">
        <v>778</v>
      </c>
      <c r="N110" s="35" t="s">
        <v>1366</v>
      </c>
      <c r="O110" s="35" t="s">
        <v>1530</v>
      </c>
      <c r="P110" s="35" t="s">
        <v>1367</v>
      </c>
      <c r="Q110" s="35" t="s">
        <v>1368</v>
      </c>
      <c r="S110" t="str">
        <f>WarningConfig!B159</f>
        <v>BrakeLampFailWrn</v>
      </c>
      <c r="T110" t="str">
        <f>WarningConfig!K159</f>
        <v>制动灯故障</v>
      </c>
      <c r="U110" t="str">
        <f>VLOOKUP(T110,UEInput!I:N,2,0)</f>
        <v>Brake Lamp Failure</v>
      </c>
      <c r="V110" t="str">
        <f>VLOOKUP(T110,UEInput!I:N,3,0)</f>
        <v>Неисправность лампы торможения</v>
      </c>
      <c r="W110" t="str">
        <f>VLOOKUP(T110,UEInput!I:N,5,0)</f>
        <v>فشل المصباح المنخفض</v>
      </c>
      <c r="X110" t="str">
        <f>VLOOKUP(T110,UEInput!I:N,4,0)</f>
        <v>نقص چراغ ترمز</v>
      </c>
      <c r="Y110" t="str">
        <f>VLOOKUP(T110,UEInput!I:N,6,0)</f>
        <v>Avería de luz de freno</v>
      </c>
    </row>
    <row r="111" spans="1:25">
      <c r="A111" s="14"/>
      <c r="B111" s="34" t="str">
        <f>WarningConfig!O160</f>
        <v>Wrn_LowBeamFailWrn</v>
      </c>
      <c r="C111" s="34" t="s">
        <v>281</v>
      </c>
      <c r="D111" s="34" t="s">
        <v>542</v>
      </c>
      <c r="E111" s="34" t="s">
        <v>1369</v>
      </c>
      <c r="F111" s="34" t="s">
        <v>1370</v>
      </c>
      <c r="G111" s="34" t="s">
        <v>1371</v>
      </c>
      <c r="H111" s="34" t="s">
        <v>1372</v>
      </c>
      <c r="J111" s="14"/>
      <c r="K111" s="34" t="str">
        <f>WarningConfig!P160</f>
        <v>WrnList_LowBeamFailWrn</v>
      </c>
      <c r="L111" s="35" t="s">
        <v>281</v>
      </c>
      <c r="M111" s="35" t="s">
        <v>737</v>
      </c>
      <c r="N111" s="35" t="s">
        <v>1369</v>
      </c>
      <c r="O111" s="35" t="s">
        <v>1371</v>
      </c>
      <c r="P111" s="35" t="s">
        <v>1370</v>
      </c>
      <c r="Q111" s="35" t="s">
        <v>1372</v>
      </c>
      <c r="S111" t="str">
        <f>WarningConfig!B160</f>
        <v>LowBeamFailWrn</v>
      </c>
      <c r="T111" t="str">
        <f>WarningConfig!K160</f>
        <v>近光灯故障</v>
      </c>
      <c r="U111" t="str">
        <f>VLOOKUP(T111,UEInput!I:N,2,0)</f>
        <v>Low Beam lamp Failure</v>
      </c>
      <c r="V111" t="str">
        <f>VLOOKUP(T111,UEInput!I:N,3,0)</f>
        <v>Неисправность ближнего света</v>
      </c>
      <c r="W111" t="str">
        <f>VLOOKUP(T111,UEInput!I:N,5,0)</f>
        <v>فشل المصباح المرتفع</v>
      </c>
      <c r="X111" t="str">
        <f>VLOOKUP(T111,UEInput!I:N,4,0)</f>
        <v>نقص چراغ نور پایین</v>
      </c>
      <c r="Y111" t="str">
        <f>VLOOKUP(T111,UEInput!I:N,6,0)</f>
        <v>Avería de luz baja</v>
      </c>
    </row>
    <row r="112" spans="1:25">
      <c r="A112" s="14"/>
      <c r="B112" s="34" t="str">
        <f>WarningConfig!O161</f>
        <v>Wrn_DirLampFailWrn</v>
      </c>
      <c r="C112" s="34" t="s">
        <v>280</v>
      </c>
      <c r="D112" s="34" t="s">
        <v>541</v>
      </c>
      <c r="E112" s="34" t="s">
        <v>1373</v>
      </c>
      <c r="F112" s="34" t="s">
        <v>1374</v>
      </c>
      <c r="G112" s="34" t="s">
        <v>1375</v>
      </c>
      <c r="H112" s="34" t="s">
        <v>1376</v>
      </c>
      <c r="J112" s="14"/>
      <c r="K112" s="34" t="str">
        <f>WarningConfig!P161</f>
        <v>WrnList_DirLampFailWrn</v>
      </c>
      <c r="L112" s="35" t="s">
        <v>280</v>
      </c>
      <c r="M112" s="35" t="s">
        <v>541</v>
      </c>
      <c r="N112" s="35" t="s">
        <v>1373</v>
      </c>
      <c r="O112" s="35" t="s">
        <v>1375</v>
      </c>
      <c r="P112" s="35" t="s">
        <v>1374</v>
      </c>
      <c r="Q112" s="35" t="s">
        <v>1376</v>
      </c>
      <c r="S112" t="str">
        <f>WarningConfig!B161</f>
        <v>DirLampFailWrn</v>
      </c>
      <c r="T112" t="str">
        <f>WarningConfig!K161</f>
        <v>转向灯故障</v>
      </c>
      <c r="U112" t="str">
        <f>VLOOKUP(T112,UEInput!I:N,2,0)</f>
        <v>Turn lamp Failure</v>
      </c>
      <c r="V112" t="str">
        <f>VLOOKUP(T112,UEInput!I:N,3,0)</f>
        <v>Неисправность лампы поворота</v>
      </c>
      <c r="W112" t="str">
        <f>VLOOKUP(T112,UEInput!I:N,5,0)</f>
        <v>فشل مصباح التوجيه</v>
      </c>
      <c r="X112" t="str">
        <f>VLOOKUP(T112,UEInput!I:N,4,0)</f>
        <v>نقص چراغ راهنما</v>
      </c>
      <c r="Y112" t="str">
        <f>VLOOKUP(T112,UEInput!I:N,6,0)</f>
        <v>Avería de luz de señal de dirección</v>
      </c>
    </row>
    <row r="113" spans="1:25">
      <c r="A113" s="14"/>
      <c r="B113" s="34" t="str">
        <f>WarningConfig!O162</f>
        <v>Wrn_ReverseLampFailWrn</v>
      </c>
      <c r="C113" s="34" t="s">
        <v>278</v>
      </c>
      <c r="D113" s="34" t="s">
        <v>540</v>
      </c>
      <c r="E113" s="34" t="s">
        <v>1377</v>
      </c>
      <c r="F113" s="34" t="s">
        <v>1378</v>
      </c>
      <c r="G113" s="34" t="s">
        <v>1379</v>
      </c>
      <c r="H113" s="34" t="s">
        <v>1380</v>
      </c>
      <c r="J113" s="14"/>
      <c r="K113" s="34" t="str">
        <f>WarningConfig!P162</f>
        <v>WrnList_ReverseLampFailWrn</v>
      </c>
      <c r="L113" s="35" t="s">
        <v>278</v>
      </c>
      <c r="M113" s="35" t="s">
        <v>738</v>
      </c>
      <c r="N113" s="35" t="s">
        <v>1377</v>
      </c>
      <c r="O113" s="35" t="s">
        <v>1379</v>
      </c>
      <c r="P113" s="35" t="s">
        <v>1378</v>
      </c>
      <c r="Q113" s="35" t="s">
        <v>1380</v>
      </c>
      <c r="S113" t="str">
        <f>WarningConfig!B162</f>
        <v>ReverseLampFailWrn</v>
      </c>
      <c r="T113" t="str">
        <f>WarningConfig!K162</f>
        <v>倒车灯故障</v>
      </c>
      <c r="U113" t="str">
        <f>VLOOKUP(T113,UEInput!I:N,2,0)</f>
        <v>Reverse Lamp Failure</v>
      </c>
      <c r="V113" t="str">
        <f>VLOOKUP(T113,UEInput!I:N,3,0)</f>
        <v>Неисправность лампы заднего хода</v>
      </c>
      <c r="W113" t="str">
        <f>VLOOKUP(T113,UEInput!I:N,5,0)</f>
        <v xml:space="preserve">فشل مصباح التراجع </v>
      </c>
      <c r="X113" t="str">
        <f>VLOOKUP(T113,UEInput!I:N,4,0)</f>
        <v>نقص چراغ دنده عقب</v>
      </c>
      <c r="Y113" t="str">
        <f>VLOOKUP(T113,UEInput!I:N,6,0)</f>
        <v>Avería de luz de marcha atrás</v>
      </c>
    </row>
    <row r="114" spans="1:25">
      <c r="A114" s="14"/>
      <c r="B114" s="34" t="str">
        <f>WarningConfig!O163</f>
        <v>Wrn_RearFogFailWrn</v>
      </c>
      <c r="C114" s="34" t="s">
        <v>279</v>
      </c>
      <c r="D114" s="34" t="s">
        <v>539</v>
      </c>
      <c r="E114" s="34" t="s">
        <v>1381</v>
      </c>
      <c r="F114" s="34" t="s">
        <v>1382</v>
      </c>
      <c r="G114" s="34" t="s">
        <v>1383</v>
      </c>
      <c r="H114" s="34" t="s">
        <v>1384</v>
      </c>
      <c r="J114" s="14"/>
      <c r="K114" s="34" t="str">
        <f>WarningConfig!P163</f>
        <v>WrnList_RearFogFailWrn</v>
      </c>
      <c r="L114" s="35" t="s">
        <v>279</v>
      </c>
      <c r="M114" s="35" t="s">
        <v>739</v>
      </c>
      <c r="N114" s="35" t="s">
        <v>1381</v>
      </c>
      <c r="O114" s="35" t="s">
        <v>1383</v>
      </c>
      <c r="P114" s="35" t="s">
        <v>1382</v>
      </c>
      <c r="Q114" s="35" t="s">
        <v>1384</v>
      </c>
      <c r="S114" t="str">
        <f>WarningConfig!B163</f>
        <v>RearFogFailWrn</v>
      </c>
      <c r="T114" t="str">
        <f>WarningConfig!K163</f>
        <v>后雾灯故障</v>
      </c>
      <c r="U114" t="str">
        <f>VLOOKUP(T114,UEInput!I:N,2,0)</f>
        <v>Rear Fog Lamp Failure</v>
      </c>
      <c r="V114" t="str">
        <f>VLOOKUP(T114,UEInput!I:N,3,0)</f>
        <v>Неисправность задней противотуманной лампы</v>
      </c>
      <c r="W114" t="str">
        <f>VLOOKUP(T114,UEInput!I:N,5,0)</f>
        <v>فشل مصباح الضباب الخلفي</v>
      </c>
      <c r="X114" t="str">
        <f>VLOOKUP(T114,UEInput!I:N,4,0)</f>
        <v>نقص چراغ‌های مه شکن عقب</v>
      </c>
      <c r="Y114" t="str">
        <f>VLOOKUP(T114,UEInput!I:N,6,0)</f>
        <v>Avería de faro antiniebla trasero</v>
      </c>
    </row>
    <row r="115" spans="1:25">
      <c r="A115" s="14"/>
      <c r="B115" s="34" t="str">
        <f>WarningConfig!O164</f>
        <v>Wrn_FrontRadarLimitWrn</v>
      </c>
      <c r="C115" s="34" t="s">
        <v>283</v>
      </c>
      <c r="D115" s="34" t="s">
        <v>718</v>
      </c>
      <c r="E115" s="34" t="s">
        <v>1425</v>
      </c>
      <c r="F115" s="34" t="s">
        <v>1426</v>
      </c>
      <c r="G115" s="34" t="s">
        <v>1427</v>
      </c>
      <c r="H115" s="34" t="s">
        <v>1428</v>
      </c>
      <c r="J115" s="14"/>
      <c r="K115" s="34" t="str">
        <f>WarningConfig!P164</f>
        <v>WrnList_FrontRadarLimitWrn</v>
      </c>
      <c r="L115" s="35" t="s">
        <v>283</v>
      </c>
      <c r="M115" s="35" t="s">
        <v>754</v>
      </c>
      <c r="N115" s="35" t="s">
        <v>1425</v>
      </c>
      <c r="O115" s="35" t="s">
        <v>1427</v>
      </c>
      <c r="P115" s="35" t="s">
        <v>1426</v>
      </c>
      <c r="Q115" s="35" t="s">
        <v>1428</v>
      </c>
      <c r="S115" t="str">
        <f>WarningConfig!B164</f>
        <v>FrontRadarLimitWrn</v>
      </c>
      <c r="T115" t="str">
        <f>WarningConfig!K164</f>
        <v>前方雷达功能受限</v>
      </c>
      <c r="U115" t="str">
        <f>VLOOKUP(T115,UEInput!I:N,2,0)</f>
        <v xml:space="preserve">The Front Radar Limited </v>
      </c>
      <c r="V115" t="str">
        <f>VLOOKUP(T115,UEInput!I:N,3,0)</f>
        <v>Ограничение функционирования переднего радара</v>
      </c>
      <c r="W115" t="str">
        <f>VLOOKUP(T115,UEInput!I:N,5,0)</f>
        <v>وظيفة الرادار الأمامي محدودة</v>
      </c>
      <c r="X115" t="str">
        <f>VLOOKUP(T115,UEInput!I:N,4,0)</f>
        <v>کارکرد سنسورهای جلو محدود شده است</v>
      </c>
      <c r="Y115" t="str">
        <f>VLOOKUP(T115,UEInput!I:N,6,0)</f>
        <v>La función de radar delantero se limita</v>
      </c>
    </row>
    <row r="116" spans="1:25">
      <c r="A116" s="14"/>
      <c r="B116" s="34" t="str">
        <f>WarningConfig!O165</f>
        <v>Wrn_KeepSafeDisWrn</v>
      </c>
      <c r="C116" s="34" t="s">
        <v>457</v>
      </c>
      <c r="D116" s="34" t="s">
        <v>529</v>
      </c>
      <c r="E116" s="34" t="s">
        <v>1429</v>
      </c>
      <c r="F116" s="34" t="s">
        <v>1430</v>
      </c>
      <c r="G116" s="34" t="s">
        <v>1431</v>
      </c>
      <c r="H116" s="34" t="s">
        <v>1432</v>
      </c>
      <c r="J116" s="14"/>
      <c r="K116" s="34" t="str">
        <f>WarningConfig!P165</f>
        <v>WrnList_KeepSafeDisWrn</v>
      </c>
      <c r="L116" s="35" t="s">
        <v>457</v>
      </c>
      <c r="M116" s="35" t="s">
        <v>755</v>
      </c>
      <c r="N116" s="35" t="s">
        <v>1429</v>
      </c>
      <c r="O116" s="35" t="s">
        <v>1431</v>
      </c>
      <c r="P116" s="35" t="s">
        <v>1430</v>
      </c>
      <c r="Q116" s="35" t="s">
        <v>1432</v>
      </c>
      <c r="S116" t="str">
        <f>WarningConfig!B165</f>
        <v>KeepSafeDisWrn</v>
      </c>
      <c r="T116" t="str">
        <f>WarningConfig!K165</f>
        <v>请保持安全车距</v>
      </c>
      <c r="U116" t="str">
        <f>VLOOKUP(T116,UEInput!I:N,2,0)</f>
        <v>Attendtion Safety Distance</v>
      </c>
      <c r="V116" t="str">
        <f>VLOOKUP(T116,UEInput!I:N,3,0)</f>
        <v>Поддержите дистанции безопасности между машинами</v>
      </c>
      <c r="W116" t="str">
        <f>VLOOKUP(T116,UEInput!I:N,5,0)</f>
        <v>يرجي الحفاظ على مسافة آمنة بين المركبات</v>
      </c>
      <c r="X116" t="str">
        <f>VLOOKUP(T116,UEInput!I:N,4,0)</f>
        <v>برای امنیت فاصله کافی از خودروهای جلو حفظ کنید</v>
      </c>
      <c r="Y116" t="str">
        <f>VLOOKUP(T116,UEInput!I:N,6,0)</f>
        <v>Por favor, mantenga la distancia segura entre vehículos</v>
      </c>
    </row>
    <row r="117" spans="1:25">
      <c r="A117" s="14"/>
      <c r="B117" s="34" t="str">
        <f>WarningConfig!O166</f>
        <v>Wrn_FrontRadarBlindWrn</v>
      </c>
      <c r="C117" s="34" t="s">
        <v>938</v>
      </c>
      <c r="D117" s="34" t="s">
        <v>719</v>
      </c>
      <c r="E117" s="34" t="s">
        <v>1462</v>
      </c>
      <c r="F117" s="34" t="s">
        <v>1463</v>
      </c>
      <c r="G117" s="34" t="s">
        <v>1464</v>
      </c>
      <c r="H117" s="34" t="s">
        <v>1465</v>
      </c>
      <c r="J117" s="14"/>
      <c r="K117" s="34" t="str">
        <f>WarningConfig!P166</f>
        <v>WrnList_FrontRadarBlindWrn</v>
      </c>
      <c r="L117" s="35" t="s">
        <v>938</v>
      </c>
      <c r="M117" s="35" t="s">
        <v>754</v>
      </c>
      <c r="N117" s="35" t="s">
        <v>1462</v>
      </c>
      <c r="O117" s="35" t="s">
        <v>1464</v>
      </c>
      <c r="P117" s="35" t="s">
        <v>1463</v>
      </c>
      <c r="Q117" s="35" t="s">
        <v>1465</v>
      </c>
      <c r="S117" t="str">
        <f>WarningConfig!B166</f>
        <v>FrontRadarBlindWrn</v>
      </c>
      <c r="T117" t="str">
        <f>WarningConfig!K166</f>
        <v>前方雷达污浊或失明</v>
      </c>
      <c r="U117" t="str">
        <f>VLOOKUP(T117,UEInput!I:N,2,0)</f>
        <v>The Front Radar is Dirty or Blindness</v>
      </c>
      <c r="V117" t="str">
        <f>VLOOKUP(T117,UEInput!I:N,3,0)</f>
        <v>Загрязнение или сбой переднего радара</v>
      </c>
      <c r="W117" t="str">
        <f>VLOOKUP(T117,UEInput!I:N,5,0)</f>
        <v>الرادار الأمامي قذرة أو عمى</v>
      </c>
      <c r="X117" t="str">
        <f>VLOOKUP(T117,UEInput!I:N,4,0)</f>
        <v>سنسور جلو آلوده شده است</v>
      </c>
      <c r="Y117" t="str">
        <f>VLOOKUP(T117,UEInput!I:N,6,0)</f>
        <v>El radar delantero está sucio o ceguero</v>
      </c>
    </row>
    <row r="118" spans="1:25">
      <c r="A118" s="14"/>
      <c r="B118" s="34" t="str">
        <f>WarningConfig!O167</f>
        <v>Wrn_FrontCameraBlindWrn</v>
      </c>
      <c r="C118" s="34" t="s">
        <v>1025</v>
      </c>
      <c r="D118" s="34" t="s">
        <v>1028</v>
      </c>
      <c r="E118" s="34" t="s">
        <v>473</v>
      </c>
      <c r="F118" s="34" t="s">
        <v>473</v>
      </c>
      <c r="G118" s="34" t="s">
        <v>473</v>
      </c>
      <c r="H118" s="34" t="s">
        <v>473</v>
      </c>
      <c r="J118" s="14"/>
      <c r="K118" s="34" t="str">
        <f>WarningConfig!P167</f>
        <v>WrnList_FrontCameraBlindWrn</v>
      </c>
      <c r="L118" s="35" t="s">
        <v>1062</v>
      </c>
      <c r="M118" s="35" t="s">
        <v>756</v>
      </c>
      <c r="N118" s="35" t="s">
        <v>473</v>
      </c>
      <c r="O118" s="35" t="s">
        <v>473</v>
      </c>
      <c r="P118" s="35" t="s">
        <v>473</v>
      </c>
      <c r="Q118" s="35" t="s">
        <v>473</v>
      </c>
      <c r="S118" t="str">
        <f>WarningConfig!B167</f>
        <v>FrontCameraBlindWrn</v>
      </c>
      <c r="T118" t="str">
        <f>WarningConfig!K167</f>
        <v>前方摄像头污浊或失明</v>
      </c>
      <c r="U118" t="str">
        <f>VLOOKUP(T118,UEInput!I:N,2,0)</f>
        <v>The Front Camera is Dirty or Blindness</v>
      </c>
      <c r="V118" t="str">
        <f>VLOOKUP(T118,UEInput!I:N,3,0)</f>
        <v>NA</v>
      </c>
      <c r="W118" t="str">
        <f>VLOOKUP(T118,UEInput!I:N,5,0)</f>
        <v>NA</v>
      </c>
      <c r="X118" t="str">
        <f>VLOOKUP(T118,UEInput!I:N,4,0)</f>
        <v>NA</v>
      </c>
      <c r="Y118" t="str">
        <f>VLOOKUP(T118,UEInput!I:N,6,0)</f>
        <v>NA</v>
      </c>
    </row>
    <row r="119" spans="1:25">
      <c r="A119" s="14"/>
      <c r="B119" s="34" t="str">
        <f>WarningConfig!O168</f>
        <v>Wrn_HoldWheelWrn</v>
      </c>
      <c r="C119" s="34" t="s">
        <v>284</v>
      </c>
      <c r="D119" s="34" t="s">
        <v>514</v>
      </c>
      <c r="E119" s="34" t="s">
        <v>1466</v>
      </c>
      <c r="F119" s="34" t="s">
        <v>1467</v>
      </c>
      <c r="G119" s="34" t="s">
        <v>1468</v>
      </c>
      <c r="H119" s="34" t="s">
        <v>1469</v>
      </c>
      <c r="J119" s="14"/>
      <c r="K119" s="34" t="str">
        <f>WarningConfig!P168</f>
        <v>WrnList_HoldWheelWrn</v>
      </c>
      <c r="L119" s="35" t="s">
        <v>284</v>
      </c>
      <c r="M119" s="35" t="s">
        <v>514</v>
      </c>
      <c r="N119" s="35" t="s">
        <v>1466</v>
      </c>
      <c r="O119" s="35" t="s">
        <v>1468</v>
      </c>
      <c r="P119" s="35" t="s">
        <v>1467</v>
      </c>
      <c r="Q119" s="35" t="s">
        <v>1469</v>
      </c>
      <c r="S119" t="str">
        <f>WarningConfig!B168</f>
        <v>HoldWheelWrn</v>
      </c>
      <c r="T119" t="str">
        <f>WarningConfig!K168</f>
        <v>请手握方向盘</v>
      </c>
      <c r="U119" t="str">
        <f>VLOOKUP(T119,UEInput!I:N,2,0)</f>
        <v>Please Hand On</v>
      </c>
      <c r="V119" t="str">
        <f>VLOOKUP(T119,UEInput!I:N,3,0)</f>
        <v>Схватите руль руками</v>
      </c>
      <c r="W119" t="str">
        <f>VLOOKUP(T119,UEInput!I:N,5,0)</f>
        <v>يرجي عقد عجلة القيادة باليدين</v>
      </c>
      <c r="X119" t="str">
        <f>VLOOKUP(T119,UEInput!I:N,4,0)</f>
        <v>با دست‌ها غربیلک فرمان را بگیرید</v>
      </c>
      <c r="Y119" t="str">
        <f>VLOOKUP(T119,UEInput!I:N,6,0)</f>
        <v>Por favor, tome el volante con manos</v>
      </c>
    </row>
    <row r="120" spans="1:25">
      <c r="A120" s="14"/>
      <c r="B120" s="34" t="str">
        <f>WarningConfig!O169</f>
        <v>Wrn_FrontCameraLimitWrn</v>
      </c>
      <c r="C120" s="34" t="s">
        <v>285</v>
      </c>
      <c r="D120" s="34" t="s">
        <v>513</v>
      </c>
      <c r="E120" s="34" t="s">
        <v>1470</v>
      </c>
      <c r="F120" s="34" t="s">
        <v>1471</v>
      </c>
      <c r="G120" s="34" t="s">
        <v>1472</v>
      </c>
      <c r="H120" s="34" t="s">
        <v>1473</v>
      </c>
      <c r="J120" s="14"/>
      <c r="K120" s="34" t="str">
        <f>WarningConfig!P169</f>
        <v>WrnList_FrontCameraLimitWrn</v>
      </c>
      <c r="L120" s="35" t="s">
        <v>285</v>
      </c>
      <c r="M120" s="35" t="s">
        <v>756</v>
      </c>
      <c r="N120" s="35" t="s">
        <v>1470</v>
      </c>
      <c r="O120" s="35" t="s">
        <v>1472</v>
      </c>
      <c r="P120" s="35" t="s">
        <v>1471</v>
      </c>
      <c r="Q120" s="35" t="s">
        <v>1473</v>
      </c>
      <c r="S120" t="str">
        <f>WarningConfig!B169</f>
        <v>FrontCameraLimitWrn</v>
      </c>
      <c r="T120" t="str">
        <f>WarningConfig!K169</f>
        <v>前方摄像头功能受限</v>
      </c>
      <c r="U120" t="str">
        <f>VLOOKUP(T120,UEInput!I:N,2,0)</f>
        <v>The Front Camera Limited</v>
      </c>
      <c r="V120" t="str">
        <f>VLOOKUP(T120,UEInput!I:N,3,0)</f>
        <v>Ограничение функционирования передней камеры</v>
      </c>
      <c r="W120" t="str">
        <f>VLOOKUP(T120,UEInput!I:N,5,0)</f>
        <v>وظيفة الكاميرا الأمامي محدودة</v>
      </c>
      <c r="X120" t="str">
        <f>VLOOKUP(T120,UEInput!I:N,4,0)</f>
        <v>کارکرد دوربین جلو محدود شد هاست</v>
      </c>
      <c r="Y120" t="str">
        <f>VLOOKUP(T120,UEInput!I:N,6,0)</f>
        <v>La función de cámara delantera se limita</v>
      </c>
    </row>
    <row r="121" spans="1:25">
      <c r="A121" s="14"/>
      <c r="B121" s="34" t="str">
        <f>WarningConfig!O170</f>
        <v>Wrn_Warning99</v>
      </c>
      <c r="C121" s="34" t="s">
        <v>286</v>
      </c>
      <c r="D121" s="34" t="s">
        <v>512</v>
      </c>
      <c r="E121" s="34" t="s">
        <v>1474</v>
      </c>
      <c r="F121" s="34" t="s">
        <v>1475</v>
      </c>
      <c r="G121" s="34" t="s">
        <v>1476</v>
      </c>
      <c r="H121" s="34" t="s">
        <v>1477</v>
      </c>
      <c r="J121" s="14"/>
      <c r="K121" s="34" t="str">
        <f>WarningConfig!P170</f>
        <v>WrnList_Warning99</v>
      </c>
      <c r="L121" s="35" t="s">
        <v>286</v>
      </c>
      <c r="M121" s="35" t="s">
        <v>740</v>
      </c>
      <c r="N121" s="35" t="s">
        <v>1474</v>
      </c>
      <c r="O121" s="35" t="s">
        <v>1476</v>
      </c>
      <c r="P121" s="35" t="s">
        <v>1475</v>
      </c>
      <c r="Q121" s="35" t="s">
        <v>1477</v>
      </c>
      <c r="S121" t="str">
        <f>WarningConfig!B170</f>
        <v>Warning99</v>
      </c>
      <c r="T121" t="str">
        <f>WarningConfig!K170</f>
        <v>限速辅助系统不可用</v>
      </c>
      <c r="U121" t="str">
        <f>VLOOKUP(T121,UEInput!I:N,2,0)</f>
        <v>SLIF can not be used</v>
      </c>
      <c r="V121" t="str">
        <f>VLOOKUP(T121,UEInput!I:N,3,0)</f>
        <v>Недоступна система ограничения скорости</v>
      </c>
      <c r="W121" t="str">
        <f>VLOOKUP(T121,UEInput!I:N,5,0)</f>
        <v>نظام حد السرعة غير متوفر</v>
      </c>
      <c r="X121" t="str">
        <f>VLOOKUP(T121,UEInput!I:N,4,0)</f>
        <v>سیستم کمکی محدودسازی سرعت قابل استفاده نیست</v>
      </c>
      <c r="Y121" t="str">
        <f>VLOOKUP(T121,UEInput!I:N,6,0)</f>
        <v>El sistema auxiliar de límite de velocidad no está disponible</v>
      </c>
    </row>
    <row r="122" spans="1:25">
      <c r="A122" s="14"/>
      <c r="B122" s="34" t="str">
        <f>WarningConfig!O171</f>
        <v>Wrn_CleanRadarWrn</v>
      </c>
      <c r="C122" s="34" t="s">
        <v>287</v>
      </c>
      <c r="D122" s="34" t="s">
        <v>511</v>
      </c>
      <c r="E122" s="34" t="s">
        <v>1478</v>
      </c>
      <c r="F122" s="34" t="s">
        <v>1479</v>
      </c>
      <c r="G122" s="34" t="s">
        <v>1480</v>
      </c>
      <c r="H122" s="34" t="s">
        <v>1481</v>
      </c>
      <c r="J122" s="14"/>
      <c r="K122" s="34" t="str">
        <f>WarningConfig!P171</f>
        <v>WrnList_CleanRadarWrn</v>
      </c>
      <c r="L122" s="35" t="s">
        <v>287</v>
      </c>
      <c r="M122" s="35" t="s">
        <v>757</v>
      </c>
      <c r="N122" s="35" t="s">
        <v>1478</v>
      </c>
      <c r="O122" s="35" t="s">
        <v>1480</v>
      </c>
      <c r="P122" s="35" t="s">
        <v>1479</v>
      </c>
      <c r="Q122" s="35" t="s">
        <v>1481</v>
      </c>
      <c r="S122" t="str">
        <f>WarningConfig!B171</f>
        <v>CleanRadarWrn</v>
      </c>
      <c r="T122" t="str">
        <f>WarningConfig!K171</f>
        <v>请清洁雷达表面</v>
      </c>
      <c r="U122" t="str">
        <f>VLOOKUP(T122,UEInput!I:N,2,0)</f>
        <v>Please Clear the Radar</v>
      </c>
      <c r="V122" t="str">
        <f>VLOOKUP(T122,UEInput!I:N,3,0)</f>
        <v>Очистите поверхности радара</v>
      </c>
      <c r="W122" t="str">
        <f>VLOOKUP(T122,UEInput!I:N,5,0)</f>
        <v>يرجي تنظيف سطح الرادار</v>
      </c>
      <c r="X122" t="str">
        <f>VLOOKUP(T122,UEInput!I:N,4,0)</f>
        <v>صفحه سنسور جلو تمیز کنید</v>
      </c>
      <c r="Y122" t="str">
        <f>VLOOKUP(T122,UEInput!I:N,6,0)</f>
        <v>Por favor, limpie la superficie de radar</v>
      </c>
    </row>
    <row r="123" spans="1:25">
      <c r="A123" s="14"/>
      <c r="B123" s="34" t="str">
        <f>WarningConfig!O172</f>
        <v>Wrn_SideRadarLimitWrn</v>
      </c>
      <c r="C123" s="34" t="s">
        <v>510</v>
      </c>
      <c r="D123" s="34" t="s">
        <v>509</v>
      </c>
      <c r="E123" s="34" t="s">
        <v>1482</v>
      </c>
      <c r="F123" s="34" t="s">
        <v>1483</v>
      </c>
      <c r="G123" s="34" t="s">
        <v>1484</v>
      </c>
      <c r="H123" s="34" t="s">
        <v>1485</v>
      </c>
      <c r="J123" s="14"/>
      <c r="K123" s="34" t="str">
        <f>WarningConfig!P172</f>
        <v>WrnList_SideRadarLimitWrn</v>
      </c>
      <c r="L123" s="35" t="s">
        <v>1063</v>
      </c>
      <c r="M123" s="35" t="s">
        <v>758</v>
      </c>
      <c r="N123" s="35" t="s">
        <v>1482</v>
      </c>
      <c r="O123" s="35" t="s">
        <v>1484</v>
      </c>
      <c r="P123" s="35" t="s">
        <v>1483</v>
      </c>
      <c r="Q123" s="35" t="s">
        <v>1485</v>
      </c>
      <c r="S123" t="str">
        <f>WarningConfig!B172</f>
        <v>SideRadarLimitWrn</v>
      </c>
      <c r="T123" t="str">
        <f>WarningConfig!K172</f>
        <v>拖车模式，侧后雷达功能受限</v>
      </c>
      <c r="U123" t="str">
        <f>VLOOKUP(T123,UEInput!I:N,2,0)</f>
        <v>Trailer Mode, RCW Limited</v>
      </c>
      <c r="V123" t="str">
        <f>VLOOKUP(T123,UEInput!I:N,3,0)</f>
        <v>Режим буксирования, ограничение функционирования заднего бокового радара</v>
      </c>
      <c r="W123" t="str">
        <f>VLOOKUP(T123,UEInput!I:N,5,0)</f>
        <v>وضع المقطورة، وظيفة الرادار الجانبي والخلفي محدودة</v>
      </c>
      <c r="X123" t="str">
        <f>VLOOKUP(T123,UEInput!I:N,4,0)</f>
        <v>مد خودروی کشنده. کارکرد سنسور عقب محدود شده است</v>
      </c>
      <c r="Y123" t="str">
        <f>VLOOKUP(T123,UEInput!I:N,6,0)</f>
        <v>En el modo de remolcar el vehículo, la función de radar lateral trasera se limita</v>
      </c>
    </row>
    <row r="124" spans="1:25">
      <c r="A124" s="14"/>
      <c r="B124" s="34" t="str">
        <f>WarningConfig!O173</f>
        <v>Wrn_PleaseTakeOverWrn</v>
      </c>
      <c r="C124" s="34" t="s">
        <v>463</v>
      </c>
      <c r="D124" s="34" t="s">
        <v>508</v>
      </c>
      <c r="E124" s="34" t="s">
        <v>1486</v>
      </c>
      <c r="F124" s="34" t="s">
        <v>1487</v>
      </c>
      <c r="G124" s="34" t="s">
        <v>1488</v>
      </c>
      <c r="H124" s="34" t="s">
        <v>1489</v>
      </c>
      <c r="J124" s="14"/>
      <c r="K124" s="34" t="str">
        <f>WarningConfig!P173</f>
        <v>WrnList_PleaseTakeOverWrn</v>
      </c>
      <c r="L124" s="35" t="s">
        <v>463</v>
      </c>
      <c r="M124" s="35" t="s">
        <v>508</v>
      </c>
      <c r="N124" s="35" t="s">
        <v>1486</v>
      </c>
      <c r="O124" s="35" t="s">
        <v>1488</v>
      </c>
      <c r="P124" s="35" t="s">
        <v>1487</v>
      </c>
      <c r="Q124" s="35" t="s">
        <v>1489</v>
      </c>
      <c r="S124" t="str">
        <f>WarningConfig!B173</f>
        <v>PleaseTakeOverWrn</v>
      </c>
      <c r="T124" t="str">
        <f>WarningConfig!K173</f>
        <v>请接管</v>
      </c>
      <c r="U124" t="str">
        <f>VLOOKUP(T124,UEInput!I:N,2,0)</f>
        <v>Please Take Over</v>
      </c>
      <c r="V124" t="str">
        <f>VLOOKUP(T124,UEInput!I:N,3,0)</f>
        <v>Принимать приоритет управления</v>
      </c>
      <c r="W124" t="str">
        <f>VLOOKUP(T124,UEInput!I:N,5,0)</f>
        <v xml:space="preserve">يرجي التحكم </v>
      </c>
      <c r="X124" t="str">
        <f>VLOOKUP(T124,UEInput!I:N,4,0)</f>
        <v>تحویل بگیرید</v>
      </c>
      <c r="Y124" t="str">
        <f>VLOOKUP(T124,UEInput!I:N,6,0)</f>
        <v>Por favor, tome a cargo</v>
      </c>
    </row>
    <row r="125" spans="1:25">
      <c r="A125" s="14"/>
      <c r="B125" s="34" t="str">
        <f>WarningConfig!O174</f>
        <v>Wrn_SpeedUpActiveWrn</v>
      </c>
      <c r="C125" s="34" t="s">
        <v>464</v>
      </c>
      <c r="D125" s="34" t="s">
        <v>507</v>
      </c>
      <c r="E125" s="34" t="s">
        <v>1163</v>
      </c>
      <c r="F125" s="34" t="s">
        <v>1490</v>
      </c>
      <c r="G125" s="34" t="s">
        <v>1165</v>
      </c>
      <c r="H125" s="34" t="s">
        <v>1491</v>
      </c>
      <c r="J125" s="14"/>
      <c r="K125" s="34" t="str">
        <f>WarningConfig!P174</f>
        <v>WrnList_SpeedUpActiveWrn</v>
      </c>
      <c r="L125" s="35" t="s">
        <v>464</v>
      </c>
      <c r="M125" s="35" t="s">
        <v>507</v>
      </c>
      <c r="N125" s="35" t="s">
        <v>1163</v>
      </c>
      <c r="O125" s="35" t="s">
        <v>1165</v>
      </c>
      <c r="P125" s="35" t="s">
        <v>1490</v>
      </c>
      <c r="Q125" s="35" t="s">
        <v>1491</v>
      </c>
      <c r="S125" t="str">
        <f>WarningConfig!B174</f>
        <v>SpeedUpActiveWrn</v>
      </c>
      <c r="T125" t="str">
        <f>WarningConfig!K174</f>
        <v>主动提速</v>
      </c>
      <c r="U125" t="str">
        <f>VLOOKUP(T125,UEInput!I:N,2,0)</f>
        <v>OverRide</v>
      </c>
      <c r="V125" t="str">
        <f>VLOOKUP(T125,UEInput!I:N,3,0)</f>
        <v>Активный разгон</v>
      </c>
      <c r="W125" t="str">
        <f>VLOOKUP(T125,UEInput!I:N,5,0)</f>
        <v>التسريع النشط</v>
      </c>
      <c r="X125" t="str">
        <f>VLOOKUP(T125,UEInput!I:N,4,0)</f>
        <v>شتاب فعالانه</v>
      </c>
      <c r="Y125" t="str">
        <f>VLOOKUP(T125,UEInput!I:N,6,0)</f>
        <v>Acelera activamente</v>
      </c>
    </row>
    <row r="126" spans="1:25">
      <c r="A126" s="14"/>
      <c r="B126" s="34" t="str">
        <f>WarningConfig!O175</f>
        <v>Wrn_IsgOverSpeedWrn</v>
      </c>
      <c r="C126" s="34" t="s">
        <v>506</v>
      </c>
      <c r="D126" s="34" t="s">
        <v>505</v>
      </c>
      <c r="E126" s="34" t="s">
        <v>1492</v>
      </c>
      <c r="F126" s="34" t="s">
        <v>1493</v>
      </c>
      <c r="G126" s="34" t="s">
        <v>1494</v>
      </c>
      <c r="H126" s="34" t="s">
        <v>1495</v>
      </c>
      <c r="J126" s="14"/>
      <c r="K126" s="34" t="str">
        <f>WarningConfig!P175</f>
        <v>WrnList_IsgOverSpeedWrn</v>
      </c>
      <c r="L126" s="35" t="s">
        <v>506</v>
      </c>
      <c r="M126" s="35" t="s">
        <v>505</v>
      </c>
      <c r="N126" s="35" t="s">
        <v>1492</v>
      </c>
      <c r="O126" s="35" t="s">
        <v>1494</v>
      </c>
      <c r="P126" s="35" t="s">
        <v>1493</v>
      </c>
      <c r="Q126" s="35" t="s">
        <v>1495</v>
      </c>
      <c r="S126" t="str">
        <f>WarningConfig!B175</f>
        <v>IsgOverSpeedWrn</v>
      </c>
      <c r="T126" t="str">
        <f>WarningConfig!K175</f>
        <v>电机超速</v>
      </c>
      <c r="U126" t="str">
        <f>VLOOKUP(T126,UEInput!I:N,2,0)</f>
        <v>Motor Overspeed</v>
      </c>
      <c r="V126" t="str">
        <f>VLOOKUP(T126,UEInput!I:N,3,0)</f>
        <v>Разнос генератора (мотора)</v>
      </c>
      <c r="W126" t="str">
        <f>VLOOKUP(T126,UEInput!I:N,5,0)</f>
        <v>السرعة الزائدة للمحرك</v>
      </c>
      <c r="X126" t="str">
        <f>VLOOKUP(T126,UEInput!I:N,4,0)</f>
        <v>سرعت موتور برقی بیش از حد است</v>
      </c>
      <c r="Y126" t="str">
        <f>VLOOKUP(T126,UEInput!I:N,6,0)</f>
        <v>Sobrevelocidad del motor</v>
      </c>
    </row>
    <row r="127" spans="1:25">
      <c r="A127" s="14"/>
      <c r="B127" s="34" t="str">
        <f>WarningConfig!O176</f>
        <v>Wrn_ChargerFailWrn</v>
      </c>
      <c r="C127" s="34" t="s">
        <v>504</v>
      </c>
      <c r="D127" s="34" t="s">
        <v>503</v>
      </c>
      <c r="E127" s="34" t="s">
        <v>1496</v>
      </c>
      <c r="F127" s="34" t="s">
        <v>1497</v>
      </c>
      <c r="G127" s="34" t="s">
        <v>1498</v>
      </c>
      <c r="H127" s="34" t="s">
        <v>1499</v>
      </c>
      <c r="J127" s="14"/>
      <c r="K127" s="34" t="str">
        <f>WarningConfig!P176</f>
        <v>WrnList_ChargerFailWrn</v>
      </c>
      <c r="L127" s="35" t="s">
        <v>504</v>
      </c>
      <c r="M127" s="35" t="s">
        <v>503</v>
      </c>
      <c r="N127" s="35" t="s">
        <v>1496</v>
      </c>
      <c r="O127" s="35" t="s">
        <v>1498</v>
      </c>
      <c r="P127" s="35" t="s">
        <v>1497</v>
      </c>
      <c r="Q127" s="35" t="s">
        <v>1499</v>
      </c>
      <c r="S127" t="str">
        <f>WarningConfig!B176</f>
        <v>ChargerFailWrn</v>
      </c>
      <c r="T127" t="str">
        <f>WarningConfig!K176</f>
        <v>充电机故障</v>
      </c>
      <c r="U127" t="str">
        <f>VLOOKUP(T127,UEInput!I:N,2,0)</f>
        <v>OBC Failure</v>
      </c>
      <c r="V127" t="str">
        <f>VLOOKUP(T127,UEInput!I:N,3,0)</f>
        <v>Неисправность зарядного устройства</v>
      </c>
      <c r="W127" t="str">
        <f>VLOOKUP(T127,UEInput!I:N,5,0)</f>
        <v>فشل الشاحن</v>
      </c>
      <c r="X127" t="str">
        <f>VLOOKUP(T127,UEInput!I:N,4,0)</f>
        <v>نقص شارژر</v>
      </c>
      <c r="Y127" t="str">
        <f>VLOOKUP(T127,UEInput!I:N,6,0)</f>
        <v>Avería de cargador de batería</v>
      </c>
    </row>
    <row r="128" spans="1:25">
      <c r="B128" s="34" t="str">
        <f>WarningConfig!O177</f>
        <v>Wrn_EVOverSpeedWrn</v>
      </c>
      <c r="C128" s="34" t="s">
        <v>502</v>
      </c>
      <c r="D128" s="34" t="s">
        <v>501</v>
      </c>
      <c r="E128" s="34" t="s">
        <v>1500</v>
      </c>
      <c r="F128" s="34" t="s">
        <v>1501</v>
      </c>
      <c r="G128" s="34" t="s">
        <v>1502</v>
      </c>
      <c r="H128" s="34" t="s">
        <v>1503</v>
      </c>
      <c r="K128" s="34" t="str">
        <f>WarningConfig!P177</f>
        <v>WrnList_EVOverSpeedWrn</v>
      </c>
      <c r="L128" s="35" t="s">
        <v>502</v>
      </c>
      <c r="M128" s="35" t="s">
        <v>501</v>
      </c>
      <c r="N128" s="35" t="s">
        <v>1500</v>
      </c>
      <c r="O128" s="35" t="s">
        <v>1502</v>
      </c>
      <c r="P128" s="35" t="s">
        <v>1501</v>
      </c>
      <c r="Q128" s="35" t="s">
        <v>1503</v>
      </c>
      <c r="S128" t="str">
        <f>WarningConfig!B177</f>
        <v>EVOverSpeedWrn</v>
      </c>
      <c r="T128" t="str">
        <f>WarningConfig!K177</f>
        <v>车速超限提示</v>
      </c>
      <c r="U128" t="str">
        <f>VLOOKUP(T128,UEInput!I:N,2,0)</f>
        <v>EV Speed Limited</v>
      </c>
      <c r="V128" t="str">
        <f>VLOOKUP(T128,UEInput!I:N,3,0)</f>
        <v>Превышение ограничения скорости</v>
      </c>
      <c r="W128" t="str">
        <f>VLOOKUP(T128,UEInput!I:N,5,0)</f>
        <v>تجاوز السرعة</v>
      </c>
      <c r="X128" t="str">
        <f>VLOOKUP(T128,UEInput!I:N,4,0)</f>
        <v>سرعت حرکت بیش از حد مجاز است</v>
      </c>
      <c r="Y128" t="str">
        <f>VLOOKUP(T128,UEInput!I:N,6,0)</f>
        <v>La velocidad excede el límite</v>
      </c>
    </row>
    <row r="129" spans="2:25">
      <c r="B129" s="34" t="str">
        <f>WarningConfig!O178</f>
        <v>Wrn_ChargeTimeRemindWrn</v>
      </c>
      <c r="C129" s="34" t="s">
        <v>987</v>
      </c>
      <c r="D129" s="34" t="s">
        <v>988</v>
      </c>
      <c r="E129" s="34" t="s">
        <v>473</v>
      </c>
      <c r="F129" s="34" t="s">
        <v>473</v>
      </c>
      <c r="G129" s="34" t="s">
        <v>473</v>
      </c>
      <c r="H129" s="34" t="s">
        <v>473</v>
      </c>
      <c r="K129" s="34" t="str">
        <f>WarningConfig!P178</f>
        <v>WrnList_ChargeTimeRemindWrn</v>
      </c>
      <c r="L129" s="35" t="s">
        <v>1005</v>
      </c>
      <c r="M129" s="35" t="s">
        <v>1069</v>
      </c>
      <c r="N129" s="35" t="s">
        <v>473</v>
      </c>
      <c r="O129" s="35" t="s">
        <v>473</v>
      </c>
      <c r="P129" s="35" t="s">
        <v>473</v>
      </c>
      <c r="Q129" s="35" t="s">
        <v>473</v>
      </c>
      <c r="S129" t="str">
        <f>WarningConfig!B178</f>
        <v>ChargeTimeRemindWrn</v>
      </c>
      <c r="T129" t="str">
        <f>WarningConfig!K178</f>
        <v>完全充电至 %0 : %1</v>
      </c>
      <c r="U129" t="str">
        <f>VLOOKUP(T129,UEInput!I:N,2,0)</f>
        <v>Complete Charge at %0 : %1</v>
      </c>
      <c r="V129">
        <f>VLOOKUP(T129,UEInput!I:N,3,0)</f>
        <v>0</v>
      </c>
      <c r="W129">
        <f>VLOOKUP(T129,UEInput!I:N,5,0)</f>
        <v>0</v>
      </c>
      <c r="X129">
        <f>VLOOKUP(T129,UEInput!I:N,4,0)</f>
        <v>0</v>
      </c>
      <c r="Y129">
        <f>VLOOKUP(T129,UEInput!I:N,6,0)</f>
        <v>0</v>
      </c>
    </row>
    <row r="130" spans="2:25">
      <c r="B130" s="34" t="str">
        <f>WarningConfig!O179</f>
        <v>Wrn_EnterEVFailWrn</v>
      </c>
      <c r="C130" s="53" t="s">
        <v>1617</v>
      </c>
      <c r="D130" s="53" t="s">
        <v>1619</v>
      </c>
      <c r="E130" s="34" t="s">
        <v>1504</v>
      </c>
      <c r="F130" s="34" t="s">
        <v>1505</v>
      </c>
      <c r="G130" s="34" t="s">
        <v>1531</v>
      </c>
      <c r="H130" s="34" t="s">
        <v>1506</v>
      </c>
      <c r="K130" s="34" t="str">
        <f>WarningConfig!P179</f>
        <v>WrnList_EnterEVFailWrn</v>
      </c>
      <c r="L130" s="35" t="s">
        <v>1620</v>
      </c>
      <c r="M130" s="35" t="s">
        <v>1621</v>
      </c>
      <c r="N130" s="35" t="s">
        <v>1504</v>
      </c>
      <c r="O130" s="35" t="s">
        <v>1531</v>
      </c>
      <c r="P130" s="35" t="s">
        <v>1505</v>
      </c>
      <c r="Q130" s="35" t="s">
        <v>1506</v>
      </c>
      <c r="S130" t="str">
        <f>WarningConfig!B179</f>
        <v>EnterEVFailWrn</v>
      </c>
      <c r="T130" t="str">
        <f>WarningConfig!K179</f>
        <v>无法进入EV模式</v>
      </c>
      <c r="U130" t="str">
        <f>VLOOKUP(T130,UEInput!I:N,2,0)</f>
        <v xml:space="preserve">Cannot enter into EV Mode </v>
      </c>
      <c r="V130" t="str">
        <f>VLOOKUP(T130,UEInput!I:N,3,0)</f>
        <v>SOC низкий, переход в режим EV не допустим</v>
      </c>
      <c r="W130" t="str">
        <f>VLOOKUP(T130,UEInput!I:N,5,0)</f>
        <v>SOC منخفض، لا يمكن  دخول وضع EV</v>
      </c>
      <c r="X130" t="str">
        <f>VLOOKUP(T130,UEInput!I:N,4,0)</f>
        <v>SOC بسیار پایین است. وردو به مد EV امکانپذیر نیست</v>
      </c>
      <c r="Y130" t="str">
        <f>VLOOKUP(T130,UEInput!I:N,6,0)</f>
        <v>SOC es baja, no se puede entrar en el modo EV</v>
      </c>
    </row>
    <row r="131" spans="2:25">
      <c r="B131" s="34" t="str">
        <f>WarningConfig!O180</f>
        <v>Wrn_PullOutChargerWrn</v>
      </c>
      <c r="C131" s="34" t="s">
        <v>498</v>
      </c>
      <c r="D131" s="34" t="s">
        <v>725</v>
      </c>
      <c r="E131" s="34" t="s">
        <v>1507</v>
      </c>
      <c r="F131" s="34" t="s">
        <v>1508</v>
      </c>
      <c r="G131" s="34" t="s">
        <v>1509</v>
      </c>
      <c r="H131" s="34" t="s">
        <v>1510</v>
      </c>
      <c r="K131" s="34" t="str">
        <f>WarningConfig!P180</f>
        <v>WrnList_PullOutChargerWrn</v>
      </c>
      <c r="L131" s="35" t="s">
        <v>498</v>
      </c>
      <c r="M131" s="35" t="s">
        <v>741</v>
      </c>
      <c r="N131" s="35" t="s">
        <v>1507</v>
      </c>
      <c r="O131" s="35" t="s">
        <v>1509</v>
      </c>
      <c r="P131" s="35" t="s">
        <v>1508</v>
      </c>
      <c r="Q131" s="35" t="s">
        <v>1510</v>
      </c>
      <c r="S131" t="str">
        <f>WarningConfig!B180</f>
        <v>PullOutChargerWrn</v>
      </c>
      <c r="T131" t="str">
        <f>WarningConfig!K180</f>
        <v>请拔下充电枪</v>
      </c>
      <c r="U131" t="str">
        <f>VLOOKUP(T131,UEInput!I:N,2,0)</f>
        <v>Please Disconnect The Charger</v>
      </c>
      <c r="V131" t="str">
        <f>VLOOKUP(T131,UEInput!I:N,3,0)</f>
        <v>Снимайте пистолет подзарядки</v>
      </c>
      <c r="W131" t="str">
        <f>VLOOKUP(T131,UEInput!I:N,5,0)</f>
        <v>افصل بندقية الشحن</v>
      </c>
      <c r="X131" t="str">
        <f>VLOOKUP(T131,UEInput!I:N,4,0)</f>
        <v>کلگی شارژ را جدا کنید</v>
      </c>
      <c r="Y131" t="str">
        <f>VLOOKUP(T131,UEInput!I:N,6,0)</f>
        <v>Desconecte la pistola de carga</v>
      </c>
    </row>
    <row r="132" spans="2:25">
      <c r="B132" s="34" t="str">
        <f>WarningConfig!O181</f>
        <v>Wrn_PTGFaultWrn</v>
      </c>
      <c r="C132" s="34" t="s">
        <v>491</v>
      </c>
      <c r="D132" s="34" t="s">
        <v>1023</v>
      </c>
      <c r="E132" s="34" t="s">
        <v>1521</v>
      </c>
      <c r="F132" s="34" t="s">
        <v>1522</v>
      </c>
      <c r="G132" s="34" t="s">
        <v>1523</v>
      </c>
      <c r="H132" s="34" t="s">
        <v>1524</v>
      </c>
      <c r="K132" s="34" t="str">
        <f>WarningConfig!P181</f>
        <v>WrnList_PTGFaultWrn</v>
      </c>
      <c r="L132" s="35" t="s">
        <v>491</v>
      </c>
      <c r="M132" s="35" t="s">
        <v>1070</v>
      </c>
      <c r="N132" s="35" t="s">
        <v>1521</v>
      </c>
      <c r="O132" s="35" t="s">
        <v>1523</v>
      </c>
      <c r="P132" s="35" t="s">
        <v>1522</v>
      </c>
      <c r="Q132" s="35" t="s">
        <v>1524</v>
      </c>
      <c r="S132" t="str">
        <f>WarningConfig!B181</f>
        <v>PTGFaultWrn</v>
      </c>
      <c r="T132" t="str">
        <f>WarningConfig!K181</f>
        <v>电动尾门故障</v>
      </c>
      <c r="U132" t="str">
        <f>VLOOKUP(T132,UEInput!I:N,2,0)</f>
        <v>PTG system failure</v>
      </c>
      <c r="V132" t="str">
        <f>VLOOKUP(T132,UEInput!I:N,3,0)</f>
        <v>Неисправность задней двери электропривода</v>
      </c>
      <c r="W132" t="str">
        <f>VLOOKUP(T132,UEInput!I:N,5,0)</f>
        <v>خطأ الباب الكهربائي الخلفي</v>
      </c>
      <c r="X132" t="str">
        <f>VLOOKUP(T132,UEInput!I:N,4,0)</f>
        <v>نقص درب عقب الکتریکی</v>
      </c>
      <c r="Y132" t="str">
        <f>VLOOKUP(T132,UEInput!I:N,6,0)</f>
        <v>Avería de puerta trasera eléctrica</v>
      </c>
    </row>
    <row r="133" spans="2:25">
      <c r="B133" s="34" t="str">
        <f>WarningConfig!O182</f>
        <v>Wrn_PTGAntipinchWrn</v>
      </c>
      <c r="C133" s="34" t="s">
        <v>490</v>
      </c>
      <c r="D133" s="34" t="s">
        <v>1024</v>
      </c>
      <c r="E133" s="34" t="s">
        <v>1525</v>
      </c>
      <c r="F133" s="34" t="s">
        <v>1526</v>
      </c>
      <c r="G133" s="34" t="s">
        <v>1527</v>
      </c>
      <c r="H133" s="34" t="s">
        <v>1528</v>
      </c>
      <c r="K133" s="34" t="str">
        <f>WarningConfig!P182</f>
        <v>WrnList_PTGAntipinchWrn</v>
      </c>
      <c r="L133" s="35" t="s">
        <v>490</v>
      </c>
      <c r="M133" s="35" t="s">
        <v>1024</v>
      </c>
      <c r="N133" s="35" t="s">
        <v>1525</v>
      </c>
      <c r="O133" s="35" t="s">
        <v>1527</v>
      </c>
      <c r="P133" s="35" t="s">
        <v>1526</v>
      </c>
      <c r="Q133" s="35" t="s">
        <v>1528</v>
      </c>
      <c r="S133" t="str">
        <f>WarningConfig!B182</f>
        <v>PTGAntipinchWrn</v>
      </c>
      <c r="T133" t="str">
        <f>WarningConfig!K182</f>
        <v>电动尾门发生防夹</v>
      </c>
      <c r="U133" t="str">
        <f>VLOOKUP(T133,UEInput!I:N,2,0)</f>
        <v>PTG antipinch</v>
      </c>
      <c r="V133" t="str">
        <f>VLOOKUP(T133,UEInput!I:N,3,0)</f>
        <v>Срабатывание предупреждения схватки задней двери электропривода</v>
      </c>
      <c r="W133" t="str">
        <f>VLOOKUP(T133,UEInput!I:N,5,0)</f>
        <v xml:space="preserve">مكافحة التشبك للباب الكهربائي الخلفي </v>
      </c>
      <c r="X133" t="str">
        <f>VLOOKUP(T133,UEInput!I:N,4,0)</f>
        <v>کاربرد آنتی پینچ درب عقب الکتریکی فعال شد</v>
      </c>
      <c r="Y133" t="str">
        <f>VLOOKUP(T133,UEInput!I:N,6,0)</f>
        <v>La puerta trasera eléctrica se produce una anti-sujección</v>
      </c>
    </row>
  </sheetData>
  <autoFilter ref="A1:A127"/>
  <phoneticPr fontId="12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6"/>
  <dimension ref="A1"/>
  <sheetViews>
    <sheetView workbookViewId="0"/>
  </sheetViews>
  <sheetFormatPr defaultRowHeight="14.25"/>
  <sheetData/>
  <phoneticPr fontId="12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2"/>
  <dimension ref="A1:N132"/>
  <sheetViews>
    <sheetView tabSelected="1" workbookViewId="0">
      <selection activeCell="I6" sqref="I6"/>
    </sheetView>
  </sheetViews>
  <sheetFormatPr defaultRowHeight="14.25"/>
  <cols>
    <col min="1" max="1" width="10.25" style="2" bestFit="1" customWidth="1"/>
    <col min="2" max="2" width="5.25" style="2" bestFit="1" customWidth="1"/>
    <col min="3" max="3" width="27.125" style="2" bestFit="1" customWidth="1"/>
    <col min="4" max="4" width="9.875" bestFit="1" customWidth="1"/>
    <col min="5" max="6" width="9.875" customWidth="1"/>
    <col min="9" max="9" width="35.375" bestFit="1" customWidth="1"/>
    <col min="10" max="10" width="41.25" style="2" bestFit="1" customWidth="1"/>
    <col min="11" max="11" width="24.75" customWidth="1"/>
    <col min="12" max="12" width="25.75" customWidth="1"/>
    <col min="13" max="13" width="25.5" customWidth="1"/>
    <col min="14" max="14" width="21.5" customWidth="1"/>
  </cols>
  <sheetData>
    <row r="1" spans="1:14">
      <c r="A1" s="2" t="s">
        <v>704</v>
      </c>
      <c r="J1" s="2" t="s">
        <v>705</v>
      </c>
    </row>
    <row r="2" spans="1:14">
      <c r="A2" s="2" t="s">
        <v>3</v>
      </c>
      <c r="B2" s="2">
        <v>1</v>
      </c>
      <c r="C2" s="2" t="s">
        <v>528</v>
      </c>
      <c r="D2" t="s">
        <v>610</v>
      </c>
      <c r="E2" t="s">
        <v>602</v>
      </c>
      <c r="F2">
        <v>1</v>
      </c>
      <c r="I2" t="s">
        <v>415</v>
      </c>
      <c r="J2" s="2" t="s">
        <v>601</v>
      </c>
      <c r="K2" t="s">
        <v>1091</v>
      </c>
      <c r="L2" t="s">
        <v>1092</v>
      </c>
      <c r="M2" t="s">
        <v>1093</v>
      </c>
      <c r="N2" t="s">
        <v>1094</v>
      </c>
    </row>
    <row r="3" spans="1:14">
      <c r="A3" s="2" t="s">
        <v>3</v>
      </c>
      <c r="B3" s="2">
        <v>2</v>
      </c>
      <c r="C3" s="2" t="s">
        <v>386</v>
      </c>
      <c r="D3" t="s">
        <v>611</v>
      </c>
      <c r="E3" t="s">
        <v>609</v>
      </c>
      <c r="F3">
        <v>2</v>
      </c>
      <c r="I3" t="s">
        <v>417</v>
      </c>
      <c r="J3" s="2" t="s">
        <v>600</v>
      </c>
      <c r="K3" t="s">
        <v>1095</v>
      </c>
      <c r="L3" t="s">
        <v>1096</v>
      </c>
      <c r="M3" t="s">
        <v>1097</v>
      </c>
      <c r="N3" t="s">
        <v>1098</v>
      </c>
    </row>
    <row r="4" spans="1:14">
      <c r="A4" s="2" t="s">
        <v>3</v>
      </c>
      <c r="B4" s="2">
        <v>4</v>
      </c>
      <c r="C4" s="2" t="s">
        <v>1546</v>
      </c>
      <c r="D4" t="s">
        <v>611</v>
      </c>
      <c r="E4" t="s">
        <v>602</v>
      </c>
      <c r="F4">
        <v>4</v>
      </c>
      <c r="I4" t="s">
        <v>472</v>
      </c>
      <c r="J4" s="2" t="s">
        <v>599</v>
      </c>
      <c r="K4" t="s">
        <v>1099</v>
      </c>
      <c r="L4" t="s">
        <v>1100</v>
      </c>
      <c r="M4" t="s">
        <v>1101</v>
      </c>
      <c r="N4" t="s">
        <v>1102</v>
      </c>
    </row>
    <row r="5" spans="1:14">
      <c r="A5" s="2" t="s">
        <v>5</v>
      </c>
      <c r="B5" s="2">
        <v>1</v>
      </c>
      <c r="C5" s="2" t="s">
        <v>343</v>
      </c>
      <c r="D5" t="s">
        <v>68</v>
      </c>
      <c r="E5" t="s">
        <v>602</v>
      </c>
      <c r="F5">
        <v>1</v>
      </c>
      <c r="I5" t="s">
        <v>633</v>
      </c>
      <c r="J5" s="2" t="s">
        <v>598</v>
      </c>
      <c r="K5" t="s">
        <v>1103</v>
      </c>
      <c r="L5" t="s">
        <v>1104</v>
      </c>
      <c r="M5" t="s">
        <v>1105</v>
      </c>
      <c r="N5" t="s">
        <v>1106</v>
      </c>
    </row>
    <row r="6" spans="1:14">
      <c r="A6" s="2" t="s">
        <v>5</v>
      </c>
      <c r="B6" s="2">
        <v>2</v>
      </c>
      <c r="C6" s="2" t="s">
        <v>345</v>
      </c>
      <c r="D6" t="s">
        <v>68</v>
      </c>
      <c r="E6" t="s">
        <v>602</v>
      </c>
      <c r="F6">
        <v>1</v>
      </c>
      <c r="I6" t="s">
        <v>743</v>
      </c>
      <c r="J6" s="2" t="s">
        <v>744</v>
      </c>
      <c r="K6" t="s">
        <v>1107</v>
      </c>
      <c r="L6" t="s">
        <v>1108</v>
      </c>
      <c r="M6" t="s">
        <v>1109</v>
      </c>
      <c r="N6" t="s">
        <v>1110</v>
      </c>
    </row>
    <row r="7" spans="1:14">
      <c r="A7" s="2" t="s">
        <v>5</v>
      </c>
      <c r="B7" s="2">
        <v>3</v>
      </c>
      <c r="C7" s="2" t="s">
        <v>347</v>
      </c>
      <c r="D7" t="s">
        <v>68</v>
      </c>
      <c r="E7" t="s">
        <v>602</v>
      </c>
      <c r="F7">
        <v>1</v>
      </c>
      <c r="I7" t="s">
        <v>597</v>
      </c>
      <c r="J7" s="2" t="s">
        <v>1030</v>
      </c>
      <c r="K7" t="s">
        <v>1111</v>
      </c>
      <c r="L7" t="s">
        <v>1112</v>
      </c>
      <c r="M7" t="s">
        <v>1113</v>
      </c>
      <c r="N7" t="s">
        <v>1114</v>
      </c>
    </row>
    <row r="8" spans="1:14">
      <c r="A8" s="2" t="s">
        <v>5</v>
      </c>
      <c r="B8" s="2">
        <v>4</v>
      </c>
      <c r="C8" s="2" t="s">
        <v>349</v>
      </c>
      <c r="D8" t="s">
        <v>68</v>
      </c>
      <c r="E8" t="s">
        <v>602</v>
      </c>
      <c r="F8">
        <v>1</v>
      </c>
      <c r="I8" t="s">
        <v>367</v>
      </c>
      <c r="J8" s="2" t="s">
        <v>596</v>
      </c>
      <c r="K8" t="s">
        <v>1115</v>
      </c>
      <c r="L8" t="s">
        <v>1116</v>
      </c>
      <c r="M8" t="s">
        <v>1117</v>
      </c>
      <c r="N8" t="s">
        <v>1118</v>
      </c>
    </row>
    <row r="9" spans="1:14">
      <c r="A9" s="2" t="s">
        <v>5</v>
      </c>
      <c r="B9" s="2">
        <v>5</v>
      </c>
      <c r="C9" s="2" t="s">
        <v>943</v>
      </c>
      <c r="D9" t="s">
        <v>68</v>
      </c>
      <c r="E9" t="s">
        <v>602</v>
      </c>
      <c r="F9">
        <v>1</v>
      </c>
      <c r="I9" t="s">
        <v>366</v>
      </c>
      <c r="J9" s="2" t="s">
        <v>595</v>
      </c>
      <c r="K9" t="s">
        <v>1119</v>
      </c>
      <c r="L9" t="s">
        <v>1120</v>
      </c>
      <c r="M9" t="s">
        <v>1121</v>
      </c>
      <c r="N9" t="s">
        <v>1122</v>
      </c>
    </row>
    <row r="10" spans="1:14">
      <c r="A10" s="2" t="s">
        <v>5</v>
      </c>
      <c r="B10" s="2">
        <v>6</v>
      </c>
      <c r="C10" s="2" t="s">
        <v>946</v>
      </c>
      <c r="D10" t="s">
        <v>68</v>
      </c>
      <c r="E10" t="s">
        <v>602</v>
      </c>
      <c r="F10">
        <v>1</v>
      </c>
      <c r="I10" t="s">
        <v>421</v>
      </c>
      <c r="J10" s="2" t="s">
        <v>594</v>
      </c>
      <c r="K10" t="s">
        <v>1123</v>
      </c>
      <c r="L10" t="s">
        <v>1124</v>
      </c>
      <c r="M10" t="s">
        <v>1125</v>
      </c>
      <c r="N10" t="s">
        <v>1126</v>
      </c>
    </row>
    <row r="11" spans="1:14">
      <c r="A11" s="2" t="s">
        <v>5</v>
      </c>
      <c r="B11" s="2">
        <v>7</v>
      </c>
      <c r="C11" s="2" t="s">
        <v>949</v>
      </c>
      <c r="D11" t="s">
        <v>68</v>
      </c>
      <c r="E11" t="s">
        <v>602</v>
      </c>
      <c r="F11">
        <v>1</v>
      </c>
      <c r="I11" t="s">
        <v>478</v>
      </c>
      <c r="J11" s="2" t="s">
        <v>593</v>
      </c>
      <c r="K11" t="s">
        <v>1127</v>
      </c>
      <c r="L11" t="s">
        <v>1128</v>
      </c>
      <c r="M11" t="s">
        <v>1129</v>
      </c>
      <c r="N11" t="s">
        <v>1130</v>
      </c>
    </row>
    <row r="12" spans="1:14">
      <c r="A12" s="2" t="s">
        <v>5</v>
      </c>
      <c r="B12" s="2">
        <v>8</v>
      </c>
      <c r="C12" s="2" t="s">
        <v>952</v>
      </c>
      <c r="D12" t="s">
        <v>68</v>
      </c>
      <c r="E12" t="s">
        <v>602</v>
      </c>
      <c r="F12">
        <v>1</v>
      </c>
      <c r="I12" t="s">
        <v>423</v>
      </c>
      <c r="J12" s="2" t="s">
        <v>1031</v>
      </c>
      <c r="K12" t="s">
        <v>1131</v>
      </c>
      <c r="L12" t="s">
        <v>1132</v>
      </c>
      <c r="M12" t="s">
        <v>1133</v>
      </c>
      <c r="N12" t="s">
        <v>1134</v>
      </c>
    </row>
    <row r="13" spans="1:14">
      <c r="A13" s="2" t="s">
        <v>5</v>
      </c>
      <c r="B13" s="2">
        <v>9</v>
      </c>
      <c r="C13" s="2" t="s">
        <v>1083</v>
      </c>
      <c r="D13" t="s">
        <v>68</v>
      </c>
      <c r="E13" t="s">
        <v>602</v>
      </c>
      <c r="F13">
        <v>1</v>
      </c>
      <c r="I13" t="s">
        <v>425</v>
      </c>
      <c r="J13" s="2" t="s">
        <v>592</v>
      </c>
      <c r="K13" t="s">
        <v>1135</v>
      </c>
      <c r="L13" t="s">
        <v>1136</v>
      </c>
      <c r="M13" t="s">
        <v>1137</v>
      </c>
      <c r="N13" t="s">
        <v>1138</v>
      </c>
    </row>
    <row r="14" spans="1:14">
      <c r="A14" s="2" t="s">
        <v>5</v>
      </c>
      <c r="B14" s="2">
        <v>10</v>
      </c>
      <c r="C14" s="2" t="s">
        <v>475</v>
      </c>
      <c r="D14" t="s">
        <v>68</v>
      </c>
      <c r="E14" t="s">
        <v>602</v>
      </c>
      <c r="F14">
        <v>1</v>
      </c>
      <c r="I14" t="s">
        <v>427</v>
      </c>
      <c r="J14" s="2" t="s">
        <v>591</v>
      </c>
      <c r="K14" t="s">
        <v>1139</v>
      </c>
      <c r="L14" t="s">
        <v>1140</v>
      </c>
      <c r="M14" t="s">
        <v>1141</v>
      </c>
      <c r="N14" t="s">
        <v>1142</v>
      </c>
    </row>
    <row r="15" spans="1:14">
      <c r="A15" s="2" t="s">
        <v>5</v>
      </c>
      <c r="B15" s="2">
        <v>11</v>
      </c>
      <c r="C15" s="2" t="s">
        <v>476</v>
      </c>
      <c r="D15" t="s">
        <v>68</v>
      </c>
      <c r="E15" t="s">
        <v>602</v>
      </c>
      <c r="F15">
        <v>1</v>
      </c>
      <c r="I15" t="s">
        <v>378</v>
      </c>
      <c r="J15" s="2" t="s">
        <v>1029</v>
      </c>
      <c r="K15" t="s">
        <v>1143</v>
      </c>
      <c r="L15" t="s">
        <v>1144</v>
      </c>
      <c r="M15" t="s">
        <v>1145</v>
      </c>
      <c r="N15" t="s">
        <v>1146</v>
      </c>
    </row>
    <row r="16" spans="1:14">
      <c r="A16" s="2" t="s">
        <v>5</v>
      </c>
      <c r="B16" s="2">
        <v>12</v>
      </c>
      <c r="C16" s="2" t="s">
        <v>631</v>
      </c>
      <c r="D16" t="s">
        <v>68</v>
      </c>
      <c r="E16" t="s">
        <v>602</v>
      </c>
      <c r="F16">
        <v>1</v>
      </c>
      <c r="I16" t="s">
        <v>590</v>
      </c>
      <c r="J16" s="2" t="s">
        <v>589</v>
      </c>
      <c r="K16" t="s">
        <v>1147</v>
      </c>
      <c r="L16" t="s">
        <v>1148</v>
      </c>
      <c r="M16" t="s">
        <v>1149</v>
      </c>
      <c r="N16" t="s">
        <v>1150</v>
      </c>
    </row>
    <row r="17" spans="1:14">
      <c r="A17" s="2" t="s">
        <v>5</v>
      </c>
      <c r="B17" s="2">
        <v>13</v>
      </c>
      <c r="C17" s="2" t="s">
        <v>477</v>
      </c>
      <c r="D17" t="s">
        <v>68</v>
      </c>
      <c r="E17" t="s">
        <v>602</v>
      </c>
      <c r="F17">
        <v>1</v>
      </c>
      <c r="I17" t="s">
        <v>363</v>
      </c>
      <c r="J17" s="2" t="s">
        <v>588</v>
      </c>
      <c r="K17" t="s">
        <v>1151</v>
      </c>
      <c r="L17" t="s">
        <v>1152</v>
      </c>
      <c r="M17" t="s">
        <v>1153</v>
      </c>
      <c r="N17" t="s">
        <v>1154</v>
      </c>
    </row>
    <row r="18" spans="1:14">
      <c r="A18" s="2" t="s">
        <v>5</v>
      </c>
      <c r="B18" s="2">
        <v>14</v>
      </c>
      <c r="C18" s="2" t="s">
        <v>1084</v>
      </c>
      <c r="D18" t="s">
        <v>68</v>
      </c>
      <c r="E18" t="s">
        <v>602</v>
      </c>
      <c r="F18">
        <v>1</v>
      </c>
      <c r="I18" t="s">
        <v>364</v>
      </c>
      <c r="J18" s="2" t="s">
        <v>587</v>
      </c>
      <c r="K18" t="s">
        <v>1155</v>
      </c>
      <c r="L18" t="s">
        <v>1156</v>
      </c>
      <c r="M18" t="s">
        <v>1157</v>
      </c>
      <c r="N18" t="s">
        <v>1158</v>
      </c>
    </row>
    <row r="19" spans="1:14">
      <c r="A19" s="2" t="s">
        <v>5</v>
      </c>
      <c r="B19" s="2">
        <v>15</v>
      </c>
      <c r="C19" s="2" t="s">
        <v>1001</v>
      </c>
      <c r="D19" t="s">
        <v>68</v>
      </c>
      <c r="E19" t="s">
        <v>602</v>
      </c>
      <c r="F19">
        <v>1</v>
      </c>
      <c r="I19" t="s">
        <v>365</v>
      </c>
      <c r="J19" s="2" t="s">
        <v>586</v>
      </c>
      <c r="K19" t="s">
        <v>1159</v>
      </c>
      <c r="L19" t="s">
        <v>1160</v>
      </c>
      <c r="M19" t="s">
        <v>1161</v>
      </c>
      <c r="N19" t="s">
        <v>1162</v>
      </c>
    </row>
    <row r="20" spans="1:14">
      <c r="A20" s="2" t="s">
        <v>5</v>
      </c>
      <c r="B20" s="2">
        <v>16</v>
      </c>
      <c r="C20" s="2" t="s">
        <v>1085</v>
      </c>
      <c r="D20" t="s">
        <v>68</v>
      </c>
      <c r="E20" t="s">
        <v>602</v>
      </c>
      <c r="F20">
        <v>1</v>
      </c>
      <c r="I20" t="s">
        <v>585</v>
      </c>
      <c r="J20" s="2" t="s">
        <v>507</v>
      </c>
      <c r="K20" t="s">
        <v>1163</v>
      </c>
      <c r="L20" t="s">
        <v>1164</v>
      </c>
      <c r="M20" t="s">
        <v>1165</v>
      </c>
      <c r="N20" t="s">
        <v>1166</v>
      </c>
    </row>
    <row r="21" spans="1:14">
      <c r="A21" s="2" t="s">
        <v>5</v>
      </c>
      <c r="B21" s="2">
        <v>17</v>
      </c>
      <c r="C21" s="2" t="s">
        <v>363</v>
      </c>
      <c r="D21" t="s">
        <v>603</v>
      </c>
      <c r="E21" t="s">
        <v>602</v>
      </c>
      <c r="F21">
        <v>1</v>
      </c>
      <c r="I21" t="s">
        <v>429</v>
      </c>
      <c r="J21" s="2" t="s">
        <v>584</v>
      </c>
      <c r="K21" t="s">
        <v>1167</v>
      </c>
      <c r="L21" t="s">
        <v>1168</v>
      </c>
      <c r="M21" t="s">
        <v>1169</v>
      </c>
      <c r="N21" t="s">
        <v>1170</v>
      </c>
    </row>
    <row r="22" spans="1:14">
      <c r="A22" s="2" t="s">
        <v>5</v>
      </c>
      <c r="B22" s="2">
        <v>18</v>
      </c>
      <c r="C22" s="2" t="s">
        <v>364</v>
      </c>
      <c r="D22" t="s">
        <v>603</v>
      </c>
      <c r="E22" t="s">
        <v>602</v>
      </c>
      <c r="F22">
        <v>1</v>
      </c>
      <c r="I22" t="s">
        <v>431</v>
      </c>
      <c r="J22" s="2" t="s">
        <v>583</v>
      </c>
      <c r="K22" t="s">
        <v>1171</v>
      </c>
      <c r="L22" t="s">
        <v>1172</v>
      </c>
      <c r="M22" t="s">
        <v>1173</v>
      </c>
      <c r="N22" t="s">
        <v>1174</v>
      </c>
    </row>
    <row r="23" spans="1:14">
      <c r="A23" s="2" t="s">
        <v>5</v>
      </c>
      <c r="B23" s="2">
        <v>19</v>
      </c>
      <c r="C23" s="2" t="s">
        <v>365</v>
      </c>
      <c r="D23" t="s">
        <v>603</v>
      </c>
      <c r="E23" t="s">
        <v>602</v>
      </c>
      <c r="F23">
        <v>1</v>
      </c>
      <c r="I23" t="s">
        <v>343</v>
      </c>
      <c r="J23" s="2" t="s">
        <v>582</v>
      </c>
      <c r="K23" t="s">
        <v>1175</v>
      </c>
      <c r="L23" t="s">
        <v>1176</v>
      </c>
      <c r="M23" t="s">
        <v>1177</v>
      </c>
      <c r="N23" t="s">
        <v>1178</v>
      </c>
    </row>
    <row r="24" spans="1:14">
      <c r="A24" s="2" t="s">
        <v>5</v>
      </c>
      <c r="B24" s="2">
        <v>20</v>
      </c>
      <c r="C24" s="2" t="s">
        <v>366</v>
      </c>
      <c r="D24" t="s">
        <v>604</v>
      </c>
      <c r="E24" t="s">
        <v>602</v>
      </c>
      <c r="F24">
        <v>1</v>
      </c>
      <c r="I24" t="s">
        <v>345</v>
      </c>
      <c r="J24" s="2" t="s">
        <v>581</v>
      </c>
      <c r="K24" t="s">
        <v>1179</v>
      </c>
      <c r="L24" t="s">
        <v>1180</v>
      </c>
      <c r="M24" t="s">
        <v>1181</v>
      </c>
      <c r="N24" t="s">
        <v>1182</v>
      </c>
    </row>
    <row r="25" spans="1:14">
      <c r="A25" s="2" t="s">
        <v>5</v>
      </c>
      <c r="B25" s="2">
        <v>21</v>
      </c>
      <c r="C25" s="2" t="s">
        <v>367</v>
      </c>
      <c r="D25" t="s">
        <v>604</v>
      </c>
      <c r="E25" t="s">
        <v>602</v>
      </c>
      <c r="F25">
        <v>1</v>
      </c>
      <c r="I25" t="s">
        <v>347</v>
      </c>
      <c r="J25" s="2" t="s">
        <v>580</v>
      </c>
      <c r="K25" t="s">
        <v>1183</v>
      </c>
      <c r="L25" t="s">
        <v>1184</v>
      </c>
      <c r="M25" t="s">
        <v>1185</v>
      </c>
      <c r="N25" t="s">
        <v>1186</v>
      </c>
    </row>
    <row r="26" spans="1:14">
      <c r="A26" s="2" t="s">
        <v>5</v>
      </c>
      <c r="B26" s="2">
        <v>22</v>
      </c>
      <c r="C26" s="2" t="s">
        <v>368</v>
      </c>
      <c r="D26" t="s">
        <v>605</v>
      </c>
      <c r="E26" t="s">
        <v>602</v>
      </c>
      <c r="F26">
        <v>1</v>
      </c>
      <c r="I26" t="s">
        <v>349</v>
      </c>
      <c r="J26" s="2" t="s">
        <v>579</v>
      </c>
      <c r="K26" t="s">
        <v>1187</v>
      </c>
      <c r="L26" t="s">
        <v>1188</v>
      </c>
      <c r="M26" t="s">
        <v>1189</v>
      </c>
      <c r="N26" t="s">
        <v>1190</v>
      </c>
    </row>
    <row r="27" spans="1:14">
      <c r="A27" s="2" t="s">
        <v>5</v>
      </c>
      <c r="B27" s="2">
        <v>23</v>
      </c>
      <c r="C27" s="2" t="s">
        <v>369</v>
      </c>
      <c r="D27" t="s">
        <v>605</v>
      </c>
      <c r="E27" t="s">
        <v>602</v>
      </c>
      <c r="F27">
        <v>1</v>
      </c>
      <c r="I27" t="s">
        <v>1083</v>
      </c>
      <c r="J27" s="2" t="s">
        <v>578</v>
      </c>
      <c r="K27" t="s">
        <v>1191</v>
      </c>
      <c r="L27" t="s">
        <v>1192</v>
      </c>
      <c r="M27" t="s">
        <v>1193</v>
      </c>
      <c r="N27" t="s">
        <v>1194</v>
      </c>
    </row>
    <row r="28" spans="1:14">
      <c r="A28" s="2" t="s">
        <v>5</v>
      </c>
      <c r="B28" s="2">
        <v>24</v>
      </c>
      <c r="C28" s="2" t="s">
        <v>524</v>
      </c>
      <c r="D28" t="s">
        <v>605</v>
      </c>
      <c r="E28" t="s">
        <v>602</v>
      </c>
      <c r="F28">
        <v>1</v>
      </c>
      <c r="I28" t="s">
        <v>691</v>
      </c>
      <c r="J28" s="2" t="s">
        <v>1006</v>
      </c>
      <c r="K28" t="s">
        <v>1195</v>
      </c>
      <c r="L28" t="s">
        <v>1196</v>
      </c>
      <c r="M28" t="s">
        <v>1197</v>
      </c>
      <c r="N28" t="s">
        <v>1198</v>
      </c>
    </row>
    <row r="29" spans="1:14">
      <c r="A29" s="2" t="s">
        <v>5</v>
      </c>
      <c r="B29" s="2">
        <v>25</v>
      </c>
      <c r="C29" s="2" t="s">
        <v>522</v>
      </c>
      <c r="D29" t="s">
        <v>605</v>
      </c>
      <c r="E29" t="s">
        <v>602</v>
      </c>
      <c r="F29">
        <v>1</v>
      </c>
      <c r="I29" t="s">
        <v>692</v>
      </c>
      <c r="J29" s="2" t="s">
        <v>1007</v>
      </c>
      <c r="K29" t="s">
        <v>1199</v>
      </c>
      <c r="L29" t="s">
        <v>1200</v>
      </c>
      <c r="M29" t="s">
        <v>1201</v>
      </c>
      <c r="N29" t="s">
        <v>1202</v>
      </c>
    </row>
    <row r="30" spans="1:14">
      <c r="A30" s="2" t="s">
        <v>5</v>
      </c>
      <c r="B30" s="2">
        <v>26</v>
      </c>
      <c r="C30" s="2" t="s">
        <v>1086</v>
      </c>
      <c r="D30" t="s">
        <v>605</v>
      </c>
      <c r="E30" t="s">
        <v>602</v>
      </c>
      <c r="F30">
        <v>1</v>
      </c>
      <c r="I30" t="s">
        <v>475</v>
      </c>
      <c r="J30" s="2" t="s">
        <v>577</v>
      </c>
      <c r="K30" t="s">
        <v>1203</v>
      </c>
      <c r="L30" t="s">
        <v>1204</v>
      </c>
      <c r="M30" t="s">
        <v>1205</v>
      </c>
      <c r="N30" t="s">
        <v>1206</v>
      </c>
    </row>
    <row r="31" spans="1:14">
      <c r="A31" s="2" t="s">
        <v>5</v>
      </c>
      <c r="B31" s="2">
        <v>27</v>
      </c>
      <c r="C31" s="2" t="s">
        <v>519</v>
      </c>
      <c r="D31" t="s">
        <v>605</v>
      </c>
      <c r="E31" t="s">
        <v>602</v>
      </c>
      <c r="F31">
        <v>1</v>
      </c>
      <c r="I31" t="s">
        <v>476</v>
      </c>
      <c r="J31" s="2" t="s">
        <v>576</v>
      </c>
      <c r="K31" t="s">
        <v>1207</v>
      </c>
      <c r="L31" t="s">
        <v>1208</v>
      </c>
      <c r="M31" t="s">
        <v>1209</v>
      </c>
      <c r="N31" t="s">
        <v>1210</v>
      </c>
    </row>
    <row r="32" spans="1:14">
      <c r="A32" s="2" t="s">
        <v>5</v>
      </c>
      <c r="B32" s="2">
        <v>28</v>
      </c>
      <c r="C32" s="2" t="s">
        <v>517</v>
      </c>
      <c r="D32" t="s">
        <v>605</v>
      </c>
      <c r="E32" t="s">
        <v>602</v>
      </c>
      <c r="F32">
        <v>1</v>
      </c>
      <c r="I32" t="s">
        <v>631</v>
      </c>
      <c r="J32" s="2" t="s">
        <v>575</v>
      </c>
      <c r="K32" t="s">
        <v>1211</v>
      </c>
      <c r="L32" t="s">
        <v>1212</v>
      </c>
      <c r="M32" t="s">
        <v>1213</v>
      </c>
      <c r="N32" t="s">
        <v>1214</v>
      </c>
    </row>
    <row r="33" spans="1:14">
      <c r="A33" s="2" t="s">
        <v>5</v>
      </c>
      <c r="B33" s="2">
        <v>29</v>
      </c>
      <c r="C33" s="2" t="s">
        <v>1581</v>
      </c>
      <c r="D33" t="s">
        <v>605</v>
      </c>
      <c r="E33" t="s">
        <v>602</v>
      </c>
      <c r="F33">
        <v>1</v>
      </c>
      <c r="I33" t="s">
        <v>477</v>
      </c>
      <c r="J33" s="2" t="s">
        <v>574</v>
      </c>
      <c r="K33" t="s">
        <v>1215</v>
      </c>
      <c r="L33" t="s">
        <v>1216</v>
      </c>
      <c r="M33" t="s">
        <v>1217</v>
      </c>
      <c r="N33" t="s">
        <v>1218</v>
      </c>
    </row>
    <row r="34" spans="1:14">
      <c r="A34" s="2" t="s">
        <v>5</v>
      </c>
      <c r="B34" s="2">
        <v>30</v>
      </c>
      <c r="C34" s="2" t="s">
        <v>1585</v>
      </c>
      <c r="D34" t="s">
        <v>605</v>
      </c>
      <c r="E34" t="s">
        <v>602</v>
      </c>
      <c r="F34">
        <v>1</v>
      </c>
      <c r="I34" t="s">
        <v>1084</v>
      </c>
      <c r="J34" s="2" t="s">
        <v>573</v>
      </c>
      <c r="K34" t="s">
        <v>1219</v>
      </c>
      <c r="L34" t="s">
        <v>1220</v>
      </c>
      <c r="M34" t="s">
        <v>1221</v>
      </c>
      <c r="N34" t="s">
        <v>1222</v>
      </c>
    </row>
    <row r="35" spans="1:14">
      <c r="A35" s="2" t="s">
        <v>5</v>
      </c>
      <c r="B35" s="2">
        <v>31</v>
      </c>
      <c r="C35" s="2" t="s">
        <v>1588</v>
      </c>
      <c r="D35" t="s">
        <v>605</v>
      </c>
      <c r="E35" t="s">
        <v>602</v>
      </c>
      <c r="F35">
        <v>1</v>
      </c>
      <c r="I35" t="s">
        <v>485</v>
      </c>
      <c r="J35" s="2" t="s">
        <v>1032</v>
      </c>
      <c r="K35" t="s">
        <v>1223</v>
      </c>
      <c r="L35" t="s">
        <v>1224</v>
      </c>
      <c r="M35" t="s">
        <v>1225</v>
      </c>
      <c r="N35" t="s">
        <v>1226</v>
      </c>
    </row>
    <row r="36" spans="1:14">
      <c r="A36" s="2" t="s">
        <v>5</v>
      </c>
      <c r="B36" s="2">
        <v>32</v>
      </c>
      <c r="C36" s="2" t="s">
        <v>1591</v>
      </c>
      <c r="D36" t="s">
        <v>605</v>
      </c>
      <c r="E36" t="s">
        <v>602</v>
      </c>
      <c r="F36">
        <v>1</v>
      </c>
      <c r="I36" t="s">
        <v>486</v>
      </c>
      <c r="J36" s="2" t="s">
        <v>1033</v>
      </c>
      <c r="K36" t="s">
        <v>1227</v>
      </c>
      <c r="L36" t="s">
        <v>1228</v>
      </c>
      <c r="M36" t="s">
        <v>1229</v>
      </c>
      <c r="N36" t="s">
        <v>1230</v>
      </c>
    </row>
    <row r="37" spans="1:14">
      <c r="A37" s="2" t="s">
        <v>5</v>
      </c>
      <c r="B37" s="2">
        <v>33</v>
      </c>
      <c r="C37" s="2" t="s">
        <v>1594</v>
      </c>
      <c r="D37" t="s">
        <v>605</v>
      </c>
      <c r="E37" t="s">
        <v>602</v>
      </c>
      <c r="F37">
        <v>1</v>
      </c>
      <c r="I37" t="s">
        <v>433</v>
      </c>
      <c r="J37" s="2" t="s">
        <v>572</v>
      </c>
      <c r="K37" t="s">
        <v>1231</v>
      </c>
      <c r="L37" t="s">
        <v>1232</v>
      </c>
      <c r="M37" t="s">
        <v>1233</v>
      </c>
      <c r="N37" t="s">
        <v>1234</v>
      </c>
    </row>
    <row r="38" spans="1:14">
      <c r="A38" s="2" t="s">
        <v>5</v>
      </c>
      <c r="B38" s="2">
        <v>34</v>
      </c>
      <c r="C38" s="2" t="s">
        <v>1598</v>
      </c>
      <c r="D38" t="s">
        <v>605</v>
      </c>
      <c r="E38" t="s">
        <v>602</v>
      </c>
      <c r="F38">
        <v>1</v>
      </c>
      <c r="I38" t="s">
        <v>333</v>
      </c>
      <c r="J38" s="2" t="s">
        <v>571</v>
      </c>
      <c r="K38" t="s">
        <v>1235</v>
      </c>
      <c r="L38" t="s">
        <v>1236</v>
      </c>
      <c r="M38" t="s">
        <v>1237</v>
      </c>
      <c r="N38" t="s">
        <v>1238</v>
      </c>
    </row>
    <row r="39" spans="1:14">
      <c r="A39" s="2" t="s">
        <v>5</v>
      </c>
      <c r="B39" s="2">
        <v>35</v>
      </c>
      <c r="C39" s="2" t="s">
        <v>370</v>
      </c>
      <c r="D39" t="s">
        <v>606</v>
      </c>
      <c r="E39" t="s">
        <v>602</v>
      </c>
      <c r="F39">
        <v>1</v>
      </c>
      <c r="I39" t="s">
        <v>337</v>
      </c>
      <c r="J39" s="2" t="s">
        <v>570</v>
      </c>
      <c r="K39" t="s">
        <v>1239</v>
      </c>
      <c r="L39" t="s">
        <v>1240</v>
      </c>
      <c r="M39" t="s">
        <v>1241</v>
      </c>
      <c r="N39" t="s">
        <v>1242</v>
      </c>
    </row>
    <row r="40" spans="1:14">
      <c r="A40" s="2" t="s">
        <v>5</v>
      </c>
      <c r="B40" s="2">
        <v>36</v>
      </c>
      <c r="C40" s="2" t="s">
        <v>372</v>
      </c>
      <c r="D40" t="s">
        <v>607</v>
      </c>
      <c r="E40" t="s">
        <v>602</v>
      </c>
      <c r="F40">
        <v>1</v>
      </c>
      <c r="I40" t="s">
        <v>435</v>
      </c>
      <c r="J40" s="2" t="s">
        <v>569</v>
      </c>
      <c r="K40" t="s">
        <v>1243</v>
      </c>
      <c r="L40" t="s">
        <v>1244</v>
      </c>
      <c r="M40" t="s">
        <v>1245</v>
      </c>
      <c r="N40" t="s">
        <v>1246</v>
      </c>
    </row>
    <row r="41" spans="1:14">
      <c r="A41" s="2" t="s">
        <v>5</v>
      </c>
      <c r="B41" s="2">
        <v>37</v>
      </c>
      <c r="C41" s="2" t="s">
        <v>374</v>
      </c>
      <c r="D41" t="s">
        <v>607</v>
      </c>
      <c r="E41" t="s">
        <v>602</v>
      </c>
      <c r="F41">
        <v>1</v>
      </c>
      <c r="I41" t="s">
        <v>370</v>
      </c>
      <c r="J41" s="2" t="s">
        <v>568</v>
      </c>
      <c r="K41" t="s">
        <v>1247</v>
      </c>
      <c r="L41" t="s">
        <v>1248</v>
      </c>
      <c r="M41" t="s">
        <v>1249</v>
      </c>
      <c r="N41" t="s">
        <v>1250</v>
      </c>
    </row>
    <row r="42" spans="1:14">
      <c r="A42" s="2" t="s">
        <v>5</v>
      </c>
      <c r="B42" s="2">
        <v>38</v>
      </c>
      <c r="C42" s="2" t="s">
        <v>376</v>
      </c>
      <c r="D42" t="s">
        <v>607</v>
      </c>
      <c r="E42" t="s">
        <v>602</v>
      </c>
      <c r="F42">
        <v>1</v>
      </c>
      <c r="I42" t="s">
        <v>437</v>
      </c>
      <c r="J42" s="2" t="s">
        <v>567</v>
      </c>
      <c r="K42" t="s">
        <v>1251</v>
      </c>
      <c r="L42" t="s">
        <v>1252</v>
      </c>
      <c r="M42" t="s">
        <v>1253</v>
      </c>
      <c r="N42" t="s">
        <v>1254</v>
      </c>
    </row>
    <row r="43" spans="1:14">
      <c r="A43" s="2" t="s">
        <v>5</v>
      </c>
      <c r="B43" s="2">
        <v>39</v>
      </c>
      <c r="C43" s="2" t="s">
        <v>378</v>
      </c>
      <c r="D43" t="s">
        <v>60</v>
      </c>
      <c r="E43" t="s">
        <v>602</v>
      </c>
      <c r="F43">
        <v>1</v>
      </c>
      <c r="I43" t="s">
        <v>335</v>
      </c>
      <c r="J43" s="2" t="s">
        <v>566</v>
      </c>
      <c r="K43" t="s">
        <v>1255</v>
      </c>
      <c r="L43" t="s">
        <v>1256</v>
      </c>
      <c r="M43" t="s">
        <v>1257</v>
      </c>
      <c r="N43" t="s">
        <v>1258</v>
      </c>
    </row>
    <row r="44" spans="1:14">
      <c r="A44" s="2" t="s">
        <v>5</v>
      </c>
      <c r="B44" s="2">
        <v>40</v>
      </c>
      <c r="C44" s="2" t="s">
        <v>743</v>
      </c>
      <c r="D44" t="s">
        <v>604</v>
      </c>
      <c r="E44" t="s">
        <v>602</v>
      </c>
      <c r="F44">
        <v>2</v>
      </c>
      <c r="I44" t="s">
        <v>439</v>
      </c>
      <c r="J44" s="2" t="s">
        <v>565</v>
      </c>
      <c r="K44" t="s">
        <v>1259</v>
      </c>
      <c r="L44" t="s">
        <v>1260</v>
      </c>
      <c r="M44" t="s">
        <v>1261</v>
      </c>
      <c r="N44" t="s">
        <v>1262</v>
      </c>
    </row>
    <row r="45" spans="1:14">
      <c r="A45" s="2" t="s">
        <v>5</v>
      </c>
      <c r="B45" s="2">
        <v>41</v>
      </c>
      <c r="C45" s="2" t="s">
        <v>633</v>
      </c>
      <c r="D45" t="s">
        <v>604</v>
      </c>
      <c r="E45" t="s">
        <v>602</v>
      </c>
      <c r="F45">
        <v>2</v>
      </c>
      <c r="I45" t="s">
        <v>441</v>
      </c>
      <c r="J45" s="2" t="s">
        <v>564</v>
      </c>
      <c r="K45" t="s">
        <v>1263</v>
      </c>
      <c r="L45" t="s">
        <v>1264</v>
      </c>
      <c r="M45" t="s">
        <v>1265</v>
      </c>
      <c r="N45" t="s">
        <v>1266</v>
      </c>
    </row>
    <row r="46" spans="1:14">
      <c r="A46" s="2" t="s">
        <v>5</v>
      </c>
      <c r="B46" s="2">
        <v>42</v>
      </c>
      <c r="C46" s="2" t="s">
        <v>282</v>
      </c>
      <c r="D46" t="s">
        <v>608</v>
      </c>
      <c r="E46" t="s">
        <v>602</v>
      </c>
      <c r="F46">
        <v>3</v>
      </c>
      <c r="I46" t="s">
        <v>443</v>
      </c>
      <c r="J46" s="2" t="s">
        <v>563</v>
      </c>
      <c r="K46" t="s">
        <v>1267</v>
      </c>
      <c r="L46" t="s">
        <v>1268</v>
      </c>
      <c r="M46" t="s">
        <v>1269</v>
      </c>
      <c r="N46" t="s">
        <v>1270</v>
      </c>
    </row>
    <row r="47" spans="1:14">
      <c r="A47" s="2" t="s">
        <v>5</v>
      </c>
      <c r="B47" s="2">
        <v>43</v>
      </c>
      <c r="C47" s="2" t="s">
        <v>478</v>
      </c>
      <c r="D47" t="s">
        <v>604</v>
      </c>
      <c r="E47" t="s">
        <v>602</v>
      </c>
      <c r="F47">
        <v>4</v>
      </c>
      <c r="I47" t="s">
        <v>445</v>
      </c>
      <c r="J47" s="2" t="s">
        <v>562</v>
      </c>
      <c r="K47" t="s">
        <v>1271</v>
      </c>
      <c r="L47" t="s">
        <v>1272</v>
      </c>
      <c r="M47" t="s">
        <v>1273</v>
      </c>
      <c r="N47" t="s">
        <v>1274</v>
      </c>
    </row>
    <row r="48" spans="1:14">
      <c r="A48" s="2" t="s">
        <v>5</v>
      </c>
      <c r="B48" s="2">
        <v>44</v>
      </c>
      <c r="C48" s="2" t="s">
        <v>597</v>
      </c>
      <c r="D48" t="s">
        <v>604</v>
      </c>
      <c r="E48" t="s">
        <v>602</v>
      </c>
      <c r="F48">
        <v>5</v>
      </c>
      <c r="I48" t="s">
        <v>447</v>
      </c>
      <c r="J48" s="2" t="s">
        <v>561</v>
      </c>
      <c r="K48" t="s">
        <v>1275</v>
      </c>
      <c r="L48" t="s">
        <v>1276</v>
      </c>
      <c r="M48" t="s">
        <v>1277</v>
      </c>
      <c r="N48" t="s">
        <v>1278</v>
      </c>
    </row>
    <row r="49" spans="1:14">
      <c r="A49" s="2" t="s">
        <v>5</v>
      </c>
      <c r="B49" s="2">
        <v>45</v>
      </c>
      <c r="C49" s="2" t="s">
        <v>1020</v>
      </c>
      <c r="D49" t="s">
        <v>604</v>
      </c>
      <c r="E49" t="s">
        <v>602</v>
      </c>
      <c r="F49">
        <v>6</v>
      </c>
      <c r="I49" t="s">
        <v>374</v>
      </c>
      <c r="J49" s="2" t="s">
        <v>560</v>
      </c>
      <c r="K49" t="s">
        <v>1279</v>
      </c>
      <c r="L49" t="s">
        <v>1280</v>
      </c>
      <c r="M49" t="s">
        <v>1281</v>
      </c>
      <c r="N49" t="s">
        <v>1282</v>
      </c>
    </row>
    <row r="50" spans="1:14">
      <c r="A50" s="2" t="s">
        <v>15</v>
      </c>
      <c r="B50" s="2">
        <v>2</v>
      </c>
      <c r="C50" s="2" t="s">
        <v>484</v>
      </c>
      <c r="D50" t="s">
        <v>612</v>
      </c>
      <c r="E50" t="s">
        <v>613</v>
      </c>
      <c r="F50">
        <v>1</v>
      </c>
      <c r="I50" t="s">
        <v>372</v>
      </c>
      <c r="J50" s="2" t="s">
        <v>559</v>
      </c>
      <c r="K50" t="s">
        <v>1283</v>
      </c>
      <c r="L50" t="s">
        <v>1284</v>
      </c>
      <c r="M50" t="s">
        <v>1285</v>
      </c>
      <c r="N50" t="s">
        <v>1286</v>
      </c>
    </row>
    <row r="51" spans="1:14">
      <c r="A51" s="2" t="s">
        <v>15</v>
      </c>
      <c r="B51" s="2">
        <v>3</v>
      </c>
      <c r="C51" s="2" t="s">
        <v>479</v>
      </c>
      <c r="D51" t="s">
        <v>612</v>
      </c>
      <c r="E51" t="s">
        <v>613</v>
      </c>
      <c r="F51">
        <v>1</v>
      </c>
      <c r="I51" t="s">
        <v>376</v>
      </c>
      <c r="J51" s="2" t="s">
        <v>558</v>
      </c>
      <c r="K51" t="s">
        <v>1287</v>
      </c>
      <c r="L51" t="s">
        <v>1288</v>
      </c>
      <c r="M51" t="s">
        <v>1289</v>
      </c>
      <c r="N51" t="s">
        <v>1290</v>
      </c>
    </row>
    <row r="52" spans="1:14">
      <c r="A52" s="2" t="s">
        <v>15</v>
      </c>
      <c r="B52" s="2">
        <v>4</v>
      </c>
      <c r="C52" s="2" t="s">
        <v>474</v>
      </c>
      <c r="D52" t="s">
        <v>612</v>
      </c>
      <c r="E52" t="s">
        <v>613</v>
      </c>
      <c r="F52">
        <v>1</v>
      </c>
      <c r="I52" t="s">
        <v>480</v>
      </c>
      <c r="J52" s="2" t="s">
        <v>557</v>
      </c>
      <c r="K52" t="s">
        <v>1291</v>
      </c>
      <c r="L52" t="s">
        <v>1292</v>
      </c>
      <c r="M52" t="s">
        <v>1293</v>
      </c>
      <c r="N52" t="s">
        <v>1294</v>
      </c>
    </row>
    <row r="53" spans="1:14">
      <c r="A53" s="2" t="s">
        <v>15</v>
      </c>
      <c r="B53" s="2">
        <v>4</v>
      </c>
      <c r="C53" s="2" t="s">
        <v>483</v>
      </c>
      <c r="D53" t="s">
        <v>612</v>
      </c>
      <c r="E53" t="s">
        <v>613</v>
      </c>
      <c r="F53">
        <v>1</v>
      </c>
      <c r="I53" t="s">
        <v>388</v>
      </c>
      <c r="J53" s="2" t="s">
        <v>544</v>
      </c>
      <c r="K53" t="s">
        <v>1295</v>
      </c>
      <c r="L53" t="s">
        <v>1296</v>
      </c>
      <c r="M53" t="s">
        <v>1297</v>
      </c>
      <c r="N53" t="s">
        <v>1298</v>
      </c>
    </row>
    <row r="54" spans="1:14">
      <c r="A54" s="2" t="s">
        <v>15</v>
      </c>
      <c r="B54" s="2">
        <v>5</v>
      </c>
      <c r="C54" s="2" t="s">
        <v>553</v>
      </c>
      <c r="D54" t="s">
        <v>612</v>
      </c>
      <c r="E54" t="s">
        <v>613</v>
      </c>
      <c r="F54">
        <v>1</v>
      </c>
      <c r="I54" t="s">
        <v>481</v>
      </c>
      <c r="J54" s="2" t="s">
        <v>556</v>
      </c>
      <c r="K54" t="s">
        <v>1299</v>
      </c>
      <c r="L54" t="s">
        <v>1300</v>
      </c>
      <c r="M54" t="s">
        <v>1301</v>
      </c>
      <c r="N54" t="s">
        <v>1302</v>
      </c>
    </row>
    <row r="55" spans="1:14">
      <c r="A55" s="2" t="s">
        <v>15</v>
      </c>
      <c r="B55" s="2">
        <v>5</v>
      </c>
      <c r="C55" s="2" t="s">
        <v>552</v>
      </c>
      <c r="E55" t="s">
        <v>613</v>
      </c>
      <c r="F55">
        <v>1</v>
      </c>
      <c r="I55" t="s">
        <v>634</v>
      </c>
      <c r="J55" s="2" t="s">
        <v>555</v>
      </c>
      <c r="K55" t="s">
        <v>1303</v>
      </c>
      <c r="L55" t="s">
        <v>1304</v>
      </c>
      <c r="M55" t="s">
        <v>1305</v>
      </c>
      <c r="N55" t="s">
        <v>1306</v>
      </c>
    </row>
    <row r="56" spans="1:14">
      <c r="A56" s="2" t="s">
        <v>15</v>
      </c>
      <c r="B56" s="2">
        <v>6</v>
      </c>
      <c r="C56" s="2" t="s">
        <v>480</v>
      </c>
      <c r="D56" t="s">
        <v>614</v>
      </c>
      <c r="E56" t="s">
        <v>613</v>
      </c>
      <c r="F56">
        <v>1</v>
      </c>
      <c r="I56" t="s">
        <v>742</v>
      </c>
      <c r="J56" s="2" t="s">
        <v>1082</v>
      </c>
      <c r="K56" t="s">
        <v>1307</v>
      </c>
      <c r="L56" t="s">
        <v>1308</v>
      </c>
      <c r="M56" t="s">
        <v>1309</v>
      </c>
      <c r="N56" t="s">
        <v>1310</v>
      </c>
    </row>
    <row r="57" spans="1:14">
      <c r="A57" s="2" t="s">
        <v>15</v>
      </c>
      <c r="B57" s="2">
        <v>7</v>
      </c>
      <c r="C57" s="2" t="s">
        <v>634</v>
      </c>
      <c r="D57" t="s">
        <v>614</v>
      </c>
      <c r="E57" t="s">
        <v>613</v>
      </c>
      <c r="F57">
        <v>1</v>
      </c>
      <c r="I57" t="s">
        <v>273</v>
      </c>
      <c r="J57" s="2" t="s">
        <v>554</v>
      </c>
      <c r="K57" t="s">
        <v>1311</v>
      </c>
      <c r="L57" t="s">
        <v>1312</v>
      </c>
      <c r="M57" t="s">
        <v>1313</v>
      </c>
      <c r="N57" t="s">
        <v>1314</v>
      </c>
    </row>
    <row r="58" spans="1:14">
      <c r="A58" s="2" t="s">
        <v>15</v>
      </c>
      <c r="B58" s="2">
        <v>8</v>
      </c>
      <c r="C58" s="2" t="s">
        <v>481</v>
      </c>
      <c r="D58" t="s">
        <v>614</v>
      </c>
      <c r="E58" t="s">
        <v>613</v>
      </c>
      <c r="F58">
        <v>1</v>
      </c>
      <c r="I58" t="s">
        <v>483</v>
      </c>
      <c r="J58" s="2" t="s">
        <v>1034</v>
      </c>
      <c r="K58" t="s">
        <v>1315</v>
      </c>
      <c r="L58" t="s">
        <v>1316</v>
      </c>
      <c r="M58" t="s">
        <v>1317</v>
      </c>
      <c r="N58" t="s">
        <v>1318</v>
      </c>
    </row>
    <row r="59" spans="1:14">
      <c r="A59" s="2" t="s">
        <v>15</v>
      </c>
      <c r="B59" s="2">
        <v>9</v>
      </c>
      <c r="C59" s="2" t="s">
        <v>635</v>
      </c>
      <c r="D59" t="s">
        <v>614</v>
      </c>
      <c r="E59" t="s">
        <v>613</v>
      </c>
      <c r="F59">
        <v>1</v>
      </c>
      <c r="I59" t="s">
        <v>484</v>
      </c>
      <c r="J59" s="2" t="s">
        <v>1035</v>
      </c>
      <c r="K59" t="s">
        <v>1319</v>
      </c>
      <c r="L59" t="s">
        <v>1320</v>
      </c>
      <c r="M59" t="s">
        <v>1321</v>
      </c>
      <c r="N59" t="s">
        <v>1322</v>
      </c>
    </row>
    <row r="60" spans="1:14">
      <c r="A60" s="2" t="s">
        <v>15</v>
      </c>
      <c r="B60" s="2">
        <v>10</v>
      </c>
      <c r="C60" s="2" t="s">
        <v>325</v>
      </c>
      <c r="D60" t="s">
        <v>614</v>
      </c>
      <c r="E60" t="s">
        <v>613</v>
      </c>
      <c r="F60">
        <v>1</v>
      </c>
      <c r="I60" t="s">
        <v>479</v>
      </c>
      <c r="J60" s="2" t="s">
        <v>1034</v>
      </c>
      <c r="K60" t="s">
        <v>1323</v>
      </c>
      <c r="L60" t="s">
        <v>1324</v>
      </c>
      <c r="M60" t="s">
        <v>1325</v>
      </c>
      <c r="N60" t="s">
        <v>1326</v>
      </c>
    </row>
    <row r="61" spans="1:14">
      <c r="A61" s="2" t="s">
        <v>15</v>
      </c>
      <c r="B61" s="2">
        <v>11</v>
      </c>
      <c r="C61" s="2" t="s">
        <v>1087</v>
      </c>
      <c r="D61" t="s">
        <v>614</v>
      </c>
      <c r="E61" t="s">
        <v>613</v>
      </c>
      <c r="F61">
        <v>1</v>
      </c>
      <c r="I61" t="s">
        <v>553</v>
      </c>
      <c r="J61" s="2" t="s">
        <v>1036</v>
      </c>
      <c r="K61" t="s">
        <v>1327</v>
      </c>
      <c r="L61" t="s">
        <v>1328</v>
      </c>
      <c r="M61" t="s">
        <v>1329</v>
      </c>
      <c r="N61" t="s">
        <v>1330</v>
      </c>
    </row>
    <row r="62" spans="1:14">
      <c r="A62" s="2" t="s">
        <v>15</v>
      </c>
      <c r="B62" s="2">
        <v>12</v>
      </c>
      <c r="C62" s="2" t="s">
        <v>482</v>
      </c>
      <c r="D62" t="s">
        <v>614</v>
      </c>
      <c r="E62" t="s">
        <v>613</v>
      </c>
      <c r="F62">
        <v>1</v>
      </c>
      <c r="I62" t="s">
        <v>552</v>
      </c>
      <c r="J62" s="2" t="s">
        <v>1037</v>
      </c>
      <c r="K62" t="s">
        <v>1331</v>
      </c>
      <c r="L62" t="s">
        <v>1332</v>
      </c>
      <c r="M62" t="s">
        <v>1333</v>
      </c>
      <c r="N62" t="s">
        <v>1334</v>
      </c>
    </row>
    <row r="63" spans="1:14">
      <c r="A63" s="2" t="s">
        <v>15</v>
      </c>
      <c r="B63" s="2">
        <v>13</v>
      </c>
      <c r="C63" s="2" t="s">
        <v>388</v>
      </c>
      <c r="D63" t="s">
        <v>615</v>
      </c>
      <c r="E63" t="s">
        <v>613</v>
      </c>
      <c r="F63">
        <v>1</v>
      </c>
      <c r="I63" t="s">
        <v>272</v>
      </c>
      <c r="J63" s="2" t="s">
        <v>551</v>
      </c>
      <c r="K63" t="s">
        <v>1335</v>
      </c>
      <c r="L63" t="s">
        <v>1336</v>
      </c>
      <c r="M63" t="s">
        <v>1337</v>
      </c>
      <c r="N63" t="s">
        <v>1338</v>
      </c>
    </row>
    <row r="64" spans="1:14">
      <c r="A64" s="2" t="s">
        <v>15</v>
      </c>
      <c r="B64" s="2">
        <v>14</v>
      </c>
      <c r="C64" s="2" t="s">
        <v>742</v>
      </c>
      <c r="D64" t="s">
        <v>614</v>
      </c>
      <c r="E64" t="s">
        <v>613</v>
      </c>
      <c r="F64">
        <v>1</v>
      </c>
      <c r="I64" t="s">
        <v>325</v>
      </c>
      <c r="J64" s="2" t="s">
        <v>576</v>
      </c>
      <c r="K64" t="s">
        <v>1339</v>
      </c>
      <c r="L64" t="s">
        <v>1340</v>
      </c>
      <c r="M64" t="s">
        <v>1341</v>
      </c>
      <c r="N64" t="s">
        <v>1342</v>
      </c>
    </row>
    <row r="65" spans="1:14">
      <c r="A65" s="2" t="s">
        <v>15</v>
      </c>
      <c r="B65" s="2">
        <v>15</v>
      </c>
      <c r="C65" s="2" t="s">
        <v>273</v>
      </c>
      <c r="D65" t="s">
        <v>614</v>
      </c>
      <c r="E65" t="s">
        <v>613</v>
      </c>
      <c r="F65">
        <v>1</v>
      </c>
      <c r="I65" t="s">
        <v>1087</v>
      </c>
      <c r="J65" s="2" t="s">
        <v>550</v>
      </c>
      <c r="K65" t="s">
        <v>1343</v>
      </c>
      <c r="L65" t="s">
        <v>1344</v>
      </c>
      <c r="M65" t="s">
        <v>1345</v>
      </c>
      <c r="N65" t="s">
        <v>1346</v>
      </c>
    </row>
    <row r="66" spans="1:14">
      <c r="A66" s="2" t="s">
        <v>15</v>
      </c>
      <c r="B66" s="2">
        <v>16</v>
      </c>
      <c r="C66" s="2" t="s">
        <v>272</v>
      </c>
      <c r="D66" t="s">
        <v>612</v>
      </c>
      <c r="E66" t="s">
        <v>613</v>
      </c>
      <c r="F66">
        <v>1</v>
      </c>
      <c r="I66" t="s">
        <v>482</v>
      </c>
      <c r="J66" s="2" t="s">
        <v>549</v>
      </c>
      <c r="K66" t="s">
        <v>1347</v>
      </c>
      <c r="L66" t="s">
        <v>1348</v>
      </c>
      <c r="M66" t="s">
        <v>1349</v>
      </c>
      <c r="N66" t="s">
        <v>1350</v>
      </c>
    </row>
    <row r="67" spans="1:14">
      <c r="A67" s="2" t="s">
        <v>15</v>
      </c>
      <c r="B67" s="2">
        <v>17</v>
      </c>
      <c r="C67" s="2" t="s">
        <v>333</v>
      </c>
      <c r="D67" t="s">
        <v>616</v>
      </c>
      <c r="E67" t="s">
        <v>602</v>
      </c>
      <c r="F67">
        <v>2</v>
      </c>
      <c r="I67" t="s">
        <v>635</v>
      </c>
      <c r="J67" s="2" t="s">
        <v>548</v>
      </c>
      <c r="K67" t="s">
        <v>1351</v>
      </c>
      <c r="L67" t="s">
        <v>1352</v>
      </c>
      <c r="M67" t="s">
        <v>1353</v>
      </c>
      <c r="N67" t="s">
        <v>1354</v>
      </c>
    </row>
    <row r="68" spans="1:14">
      <c r="A68" s="2" t="s">
        <v>15</v>
      </c>
      <c r="B68" s="2">
        <v>18</v>
      </c>
      <c r="C68" s="2" t="s">
        <v>335</v>
      </c>
      <c r="D68" t="s">
        <v>606</v>
      </c>
      <c r="E68" t="s">
        <v>602</v>
      </c>
      <c r="F68">
        <v>2</v>
      </c>
      <c r="I68" t="s">
        <v>474</v>
      </c>
      <c r="J68" s="2" t="s">
        <v>1038</v>
      </c>
      <c r="K68" t="s">
        <v>1355</v>
      </c>
      <c r="L68" t="s">
        <v>1356</v>
      </c>
      <c r="M68" t="s">
        <v>1357</v>
      </c>
      <c r="N68" t="s">
        <v>1358</v>
      </c>
    </row>
    <row r="69" spans="1:14">
      <c r="A69" s="2" t="s">
        <v>15</v>
      </c>
      <c r="B69" s="2">
        <v>19</v>
      </c>
      <c r="C69" s="2" t="s">
        <v>337</v>
      </c>
      <c r="D69" t="s">
        <v>617</v>
      </c>
      <c r="E69" t="s">
        <v>602</v>
      </c>
      <c r="F69">
        <v>2</v>
      </c>
      <c r="I69" t="s">
        <v>386</v>
      </c>
      <c r="J69" s="2" t="s">
        <v>547</v>
      </c>
      <c r="K69" t="s">
        <v>1359</v>
      </c>
      <c r="L69" t="s">
        <v>1360</v>
      </c>
      <c r="M69" t="s">
        <v>1361</v>
      </c>
      <c r="N69" t="s">
        <v>1362</v>
      </c>
    </row>
    <row r="70" spans="1:14">
      <c r="A70" s="2" t="s">
        <v>15</v>
      </c>
      <c r="B70" s="2">
        <v>20</v>
      </c>
      <c r="C70" s="2" t="s">
        <v>691</v>
      </c>
      <c r="D70" t="s">
        <v>68</v>
      </c>
      <c r="E70" t="s">
        <v>602</v>
      </c>
      <c r="F70">
        <v>2</v>
      </c>
      <c r="I70" t="s">
        <v>274</v>
      </c>
      <c r="J70" s="2" t="s">
        <v>546</v>
      </c>
      <c r="K70" t="s">
        <v>1363</v>
      </c>
      <c r="L70" t="s">
        <v>1364</v>
      </c>
      <c r="M70" t="s">
        <v>1529</v>
      </c>
      <c r="N70" t="s">
        <v>1365</v>
      </c>
    </row>
    <row r="71" spans="1:14">
      <c r="A71" s="2" t="s">
        <v>15</v>
      </c>
      <c r="B71" s="2">
        <v>20</v>
      </c>
      <c r="C71" s="2" t="s">
        <v>692</v>
      </c>
      <c r="D71" t="s">
        <v>68</v>
      </c>
      <c r="E71" t="s">
        <v>602</v>
      </c>
      <c r="F71">
        <v>2</v>
      </c>
      <c r="I71" t="s">
        <v>327</v>
      </c>
      <c r="J71" s="2" t="s">
        <v>545</v>
      </c>
      <c r="K71" t="s">
        <v>473</v>
      </c>
      <c r="L71" t="s">
        <v>473</v>
      </c>
      <c r="M71" t="s">
        <v>473</v>
      </c>
      <c r="N71" t="s">
        <v>473</v>
      </c>
    </row>
    <row r="72" spans="1:14">
      <c r="A72" s="2" t="s">
        <v>15</v>
      </c>
      <c r="B72" s="2">
        <v>21</v>
      </c>
      <c r="C72" s="2" t="s">
        <v>1546</v>
      </c>
      <c r="D72" t="s">
        <v>611</v>
      </c>
      <c r="E72" t="s">
        <v>613</v>
      </c>
      <c r="F72">
        <v>2</v>
      </c>
      <c r="I72" t="s">
        <v>388</v>
      </c>
      <c r="J72" s="2" t="s">
        <v>544</v>
      </c>
      <c r="K72" t="s">
        <v>1295</v>
      </c>
      <c r="L72" t="s">
        <v>1296</v>
      </c>
      <c r="M72" t="s">
        <v>1297</v>
      </c>
      <c r="N72" t="s">
        <v>1298</v>
      </c>
    </row>
    <row r="73" spans="1:14">
      <c r="A73" s="2" t="s">
        <v>15</v>
      </c>
      <c r="B73" s="2">
        <v>22</v>
      </c>
      <c r="C73" s="2" t="s">
        <v>277</v>
      </c>
      <c r="D73" t="s">
        <v>611</v>
      </c>
      <c r="E73" t="s">
        <v>602</v>
      </c>
      <c r="F73">
        <v>3</v>
      </c>
      <c r="I73" t="s">
        <v>276</v>
      </c>
      <c r="J73" s="2" t="s">
        <v>543</v>
      </c>
      <c r="K73" t="s">
        <v>1366</v>
      </c>
      <c r="L73" t="s">
        <v>1367</v>
      </c>
      <c r="M73" t="s">
        <v>1530</v>
      </c>
      <c r="N73" t="s">
        <v>1368</v>
      </c>
    </row>
    <row r="74" spans="1:14">
      <c r="A74" s="2" t="s">
        <v>15</v>
      </c>
      <c r="B74" s="2">
        <v>22</v>
      </c>
      <c r="C74" s="2" t="s">
        <v>632</v>
      </c>
      <c r="D74" t="s">
        <v>618</v>
      </c>
      <c r="E74" t="s">
        <v>602</v>
      </c>
      <c r="F74">
        <v>3</v>
      </c>
      <c r="I74" t="s">
        <v>281</v>
      </c>
      <c r="J74" s="2" t="s">
        <v>542</v>
      </c>
      <c r="K74" t="s">
        <v>1369</v>
      </c>
      <c r="L74" t="s">
        <v>1370</v>
      </c>
      <c r="M74" t="s">
        <v>1371</v>
      </c>
      <c r="N74" t="s">
        <v>1372</v>
      </c>
    </row>
    <row r="75" spans="1:14">
      <c r="A75" s="2" t="s">
        <v>15</v>
      </c>
      <c r="B75" s="2">
        <v>23</v>
      </c>
      <c r="C75" s="2" t="s">
        <v>396</v>
      </c>
      <c r="D75" t="s">
        <v>618</v>
      </c>
      <c r="E75" t="s">
        <v>602</v>
      </c>
      <c r="F75">
        <v>3</v>
      </c>
      <c r="I75" t="s">
        <v>280</v>
      </c>
      <c r="J75" s="2" t="s">
        <v>541</v>
      </c>
      <c r="K75" t="s">
        <v>1373</v>
      </c>
      <c r="L75" t="s">
        <v>1374</v>
      </c>
      <c r="M75" t="s">
        <v>1375</v>
      </c>
      <c r="N75" t="s">
        <v>1376</v>
      </c>
    </row>
    <row r="76" spans="1:14">
      <c r="A76" s="2" t="s">
        <v>15</v>
      </c>
      <c r="B76" s="2">
        <v>24</v>
      </c>
      <c r="C76" s="2" t="s">
        <v>398</v>
      </c>
      <c r="D76" t="s">
        <v>618</v>
      </c>
      <c r="E76" t="s">
        <v>602</v>
      </c>
      <c r="F76">
        <v>3</v>
      </c>
      <c r="I76" t="s">
        <v>278</v>
      </c>
      <c r="J76" s="2" t="s">
        <v>540</v>
      </c>
      <c r="K76" t="s">
        <v>1377</v>
      </c>
      <c r="L76" t="s">
        <v>1378</v>
      </c>
      <c r="M76" t="s">
        <v>1379</v>
      </c>
      <c r="N76" t="s">
        <v>1380</v>
      </c>
    </row>
    <row r="77" spans="1:14">
      <c r="A77" s="2" t="s">
        <v>15</v>
      </c>
      <c r="B77" s="2">
        <v>25</v>
      </c>
      <c r="C77" s="2" t="s">
        <v>400</v>
      </c>
      <c r="D77" t="s">
        <v>618</v>
      </c>
      <c r="E77" t="s">
        <v>602</v>
      </c>
      <c r="F77">
        <v>3</v>
      </c>
      <c r="I77" t="s">
        <v>279</v>
      </c>
      <c r="J77" s="2" t="s">
        <v>539</v>
      </c>
      <c r="K77" t="s">
        <v>1381</v>
      </c>
      <c r="L77" t="s">
        <v>1382</v>
      </c>
      <c r="M77" t="s">
        <v>1383</v>
      </c>
      <c r="N77" t="s">
        <v>1384</v>
      </c>
    </row>
    <row r="78" spans="1:14">
      <c r="A78" s="2" t="s">
        <v>15</v>
      </c>
      <c r="B78" s="2">
        <v>26</v>
      </c>
      <c r="C78" s="2" t="s">
        <v>402</v>
      </c>
      <c r="D78" t="s">
        <v>618</v>
      </c>
      <c r="E78" t="s">
        <v>602</v>
      </c>
      <c r="F78">
        <v>3</v>
      </c>
      <c r="I78" t="s">
        <v>277</v>
      </c>
      <c r="J78" s="2" t="s">
        <v>538</v>
      </c>
      <c r="K78" t="s">
        <v>1385</v>
      </c>
      <c r="L78" t="s">
        <v>1386</v>
      </c>
      <c r="M78" t="s">
        <v>1387</v>
      </c>
      <c r="N78" t="s">
        <v>1388</v>
      </c>
    </row>
    <row r="79" spans="1:14">
      <c r="A79" s="2" t="s">
        <v>15</v>
      </c>
      <c r="B79" s="2">
        <v>27</v>
      </c>
      <c r="C79" s="2" t="s">
        <v>404</v>
      </c>
      <c r="D79" t="s">
        <v>618</v>
      </c>
      <c r="E79" t="s">
        <v>602</v>
      </c>
      <c r="F79">
        <v>3</v>
      </c>
      <c r="I79" t="s">
        <v>632</v>
      </c>
      <c r="J79" s="2" t="s">
        <v>537</v>
      </c>
      <c r="K79" t="s">
        <v>1389</v>
      </c>
      <c r="L79" t="s">
        <v>1390</v>
      </c>
      <c r="M79" t="s">
        <v>1391</v>
      </c>
      <c r="N79" t="s">
        <v>1392</v>
      </c>
    </row>
    <row r="80" spans="1:14">
      <c r="A80" s="2" t="s">
        <v>15</v>
      </c>
      <c r="B80" s="2">
        <v>28</v>
      </c>
      <c r="C80" s="2" t="s">
        <v>275</v>
      </c>
      <c r="D80" t="s">
        <v>618</v>
      </c>
      <c r="E80" t="s">
        <v>602</v>
      </c>
      <c r="F80">
        <v>3</v>
      </c>
      <c r="I80" t="s">
        <v>396</v>
      </c>
      <c r="J80" s="2" t="s">
        <v>536</v>
      </c>
      <c r="K80" t="s">
        <v>1393</v>
      </c>
      <c r="L80" t="s">
        <v>1394</v>
      </c>
      <c r="M80" t="s">
        <v>1395</v>
      </c>
      <c r="N80" t="s">
        <v>1396</v>
      </c>
    </row>
    <row r="81" spans="1:14">
      <c r="A81" s="2" t="s">
        <v>15</v>
      </c>
      <c r="B81" s="2">
        <v>29</v>
      </c>
      <c r="C81" s="2" t="s">
        <v>407</v>
      </c>
      <c r="D81" t="s">
        <v>618</v>
      </c>
      <c r="E81" t="s">
        <v>602</v>
      </c>
      <c r="F81">
        <v>3</v>
      </c>
      <c r="I81" t="s">
        <v>398</v>
      </c>
      <c r="J81" s="2" t="s">
        <v>535</v>
      </c>
      <c r="K81" t="s">
        <v>1397</v>
      </c>
      <c r="L81" t="s">
        <v>1398</v>
      </c>
      <c r="M81" t="s">
        <v>1399</v>
      </c>
      <c r="N81" t="s">
        <v>1400</v>
      </c>
    </row>
    <row r="82" spans="1:14">
      <c r="A82" s="2" t="s">
        <v>15</v>
      </c>
      <c r="B82" s="2">
        <v>30</v>
      </c>
      <c r="C82" s="2" t="s">
        <v>409</v>
      </c>
      <c r="D82" t="s">
        <v>618</v>
      </c>
      <c r="E82" t="s">
        <v>602</v>
      </c>
      <c r="F82">
        <v>3</v>
      </c>
      <c r="I82" t="s">
        <v>400</v>
      </c>
      <c r="J82" s="2" t="s">
        <v>534</v>
      </c>
      <c r="K82" t="s">
        <v>1401</v>
      </c>
      <c r="L82" t="s">
        <v>1402</v>
      </c>
      <c r="M82" t="s">
        <v>1403</v>
      </c>
      <c r="N82" t="s">
        <v>1404</v>
      </c>
    </row>
    <row r="83" spans="1:14">
      <c r="A83" s="2" t="s">
        <v>15</v>
      </c>
      <c r="B83" s="2">
        <v>31</v>
      </c>
      <c r="C83" s="2" t="s">
        <v>485</v>
      </c>
      <c r="D83" t="s">
        <v>68</v>
      </c>
      <c r="E83" t="s">
        <v>602</v>
      </c>
      <c r="F83">
        <v>3</v>
      </c>
      <c r="I83" t="s">
        <v>402</v>
      </c>
      <c r="J83" s="2" t="s">
        <v>533</v>
      </c>
      <c r="K83" t="s">
        <v>1405</v>
      </c>
      <c r="L83" t="s">
        <v>1406</v>
      </c>
      <c r="M83" t="s">
        <v>1407</v>
      </c>
      <c r="N83" t="s">
        <v>1408</v>
      </c>
    </row>
    <row r="84" spans="1:14">
      <c r="A84" s="2" t="s">
        <v>15</v>
      </c>
      <c r="B84" s="2">
        <v>32</v>
      </c>
      <c r="C84" s="2" t="s">
        <v>486</v>
      </c>
      <c r="D84" t="s">
        <v>68</v>
      </c>
      <c r="E84" t="s">
        <v>602</v>
      </c>
      <c r="F84">
        <v>3</v>
      </c>
      <c r="I84" t="s">
        <v>404</v>
      </c>
      <c r="J84" s="2" t="s">
        <v>970</v>
      </c>
      <c r="K84" t="s">
        <v>1409</v>
      </c>
      <c r="L84" t="s">
        <v>1410</v>
      </c>
      <c r="M84" t="s">
        <v>1411</v>
      </c>
      <c r="N84" t="s">
        <v>1412</v>
      </c>
    </row>
    <row r="85" spans="1:14">
      <c r="A85" s="2" t="s">
        <v>15</v>
      </c>
      <c r="B85" s="2">
        <v>33</v>
      </c>
      <c r="C85" s="2" t="s">
        <v>415</v>
      </c>
      <c r="D85" t="s">
        <v>619</v>
      </c>
      <c r="E85" t="s">
        <v>602</v>
      </c>
      <c r="F85">
        <v>3</v>
      </c>
      <c r="I85" t="s">
        <v>275</v>
      </c>
      <c r="J85" s="2" t="s">
        <v>532</v>
      </c>
      <c r="K85" t="s">
        <v>1413</v>
      </c>
      <c r="L85" t="s">
        <v>1414</v>
      </c>
      <c r="M85" t="s">
        <v>1415</v>
      </c>
      <c r="N85" t="s">
        <v>1416</v>
      </c>
    </row>
    <row r="86" spans="1:14">
      <c r="A86" s="2" t="s">
        <v>15</v>
      </c>
      <c r="B86" s="2">
        <v>34</v>
      </c>
      <c r="C86" s="2" t="s">
        <v>417</v>
      </c>
      <c r="D86" t="s">
        <v>620</v>
      </c>
      <c r="E86" t="s">
        <v>602</v>
      </c>
      <c r="F86">
        <v>3</v>
      </c>
      <c r="I86" t="s">
        <v>407</v>
      </c>
      <c r="J86" s="2" t="s">
        <v>1039</v>
      </c>
      <c r="K86" t="s">
        <v>1417</v>
      </c>
      <c r="L86" t="s">
        <v>1418</v>
      </c>
      <c r="M86" t="s">
        <v>1419</v>
      </c>
      <c r="N86" t="s">
        <v>1420</v>
      </c>
    </row>
    <row r="87" spans="1:14">
      <c r="A87" s="2" t="s">
        <v>15</v>
      </c>
      <c r="B87" s="2">
        <v>35</v>
      </c>
      <c r="C87" s="2" t="s">
        <v>472</v>
      </c>
      <c r="D87" t="s">
        <v>604</v>
      </c>
      <c r="E87" t="s">
        <v>602</v>
      </c>
      <c r="F87">
        <v>3</v>
      </c>
      <c r="I87" t="s">
        <v>409</v>
      </c>
      <c r="J87" s="2" t="s">
        <v>531</v>
      </c>
      <c r="K87" t="s">
        <v>1421</v>
      </c>
      <c r="L87" t="s">
        <v>1422</v>
      </c>
      <c r="M87" t="s">
        <v>1423</v>
      </c>
      <c r="N87" t="s">
        <v>1424</v>
      </c>
    </row>
    <row r="88" spans="1:14">
      <c r="A88" s="2" t="s">
        <v>15</v>
      </c>
      <c r="B88" s="2">
        <v>36</v>
      </c>
      <c r="C88" s="2" t="s">
        <v>421</v>
      </c>
      <c r="D88" t="s">
        <v>621</v>
      </c>
      <c r="E88" t="s">
        <v>602</v>
      </c>
      <c r="F88">
        <v>3</v>
      </c>
      <c r="I88" t="s">
        <v>283</v>
      </c>
      <c r="J88" s="2" t="s">
        <v>530</v>
      </c>
      <c r="K88" t="s">
        <v>1425</v>
      </c>
      <c r="L88" t="s">
        <v>1426</v>
      </c>
      <c r="M88" t="s">
        <v>1427</v>
      </c>
      <c r="N88" t="s">
        <v>1428</v>
      </c>
    </row>
    <row r="89" spans="1:14">
      <c r="A89" s="2" t="s">
        <v>15</v>
      </c>
      <c r="B89" s="2">
        <v>37</v>
      </c>
      <c r="C89" s="2" t="s">
        <v>423</v>
      </c>
      <c r="D89" t="s">
        <v>622</v>
      </c>
      <c r="E89" t="s">
        <v>602</v>
      </c>
      <c r="F89">
        <v>3</v>
      </c>
      <c r="I89" t="s">
        <v>457</v>
      </c>
      <c r="J89" s="2" t="s">
        <v>529</v>
      </c>
      <c r="K89" t="s">
        <v>1429</v>
      </c>
      <c r="L89" t="s">
        <v>1430</v>
      </c>
      <c r="M89" t="s">
        <v>1431</v>
      </c>
      <c r="N89" t="s">
        <v>1432</v>
      </c>
    </row>
    <row r="90" spans="1:14">
      <c r="A90" s="2" t="s">
        <v>15</v>
      </c>
      <c r="B90" s="2">
        <v>38</v>
      </c>
      <c r="C90" s="2" t="s">
        <v>425</v>
      </c>
      <c r="D90" t="s">
        <v>623</v>
      </c>
      <c r="E90" t="s">
        <v>602</v>
      </c>
      <c r="F90">
        <v>3</v>
      </c>
      <c r="I90" t="s">
        <v>528</v>
      </c>
      <c r="J90" s="2" t="s">
        <v>527</v>
      </c>
      <c r="K90" t="s">
        <v>1433</v>
      </c>
      <c r="L90" t="s">
        <v>1434</v>
      </c>
      <c r="M90" t="s">
        <v>1435</v>
      </c>
      <c r="N90" t="s">
        <v>1436</v>
      </c>
    </row>
    <row r="91" spans="1:14">
      <c r="A91" s="2" t="s">
        <v>15</v>
      </c>
      <c r="B91" s="2">
        <v>39</v>
      </c>
      <c r="C91" s="2" t="s">
        <v>427</v>
      </c>
      <c r="D91" t="s">
        <v>608</v>
      </c>
      <c r="E91" t="s">
        <v>602</v>
      </c>
      <c r="F91">
        <v>3</v>
      </c>
      <c r="I91" t="s">
        <v>368</v>
      </c>
      <c r="J91" s="2" t="s">
        <v>526</v>
      </c>
      <c r="K91" t="s">
        <v>1155</v>
      </c>
      <c r="L91" t="s">
        <v>1156</v>
      </c>
      <c r="M91" t="s">
        <v>1157</v>
      </c>
      <c r="N91" t="s">
        <v>1437</v>
      </c>
    </row>
    <row r="92" spans="1:14">
      <c r="A92" s="2" t="s">
        <v>15</v>
      </c>
      <c r="B92" s="2">
        <v>40</v>
      </c>
      <c r="C92" s="2" t="s">
        <v>429</v>
      </c>
      <c r="D92" t="s">
        <v>68</v>
      </c>
      <c r="E92" t="s">
        <v>602</v>
      </c>
      <c r="F92">
        <v>3</v>
      </c>
      <c r="I92" t="s">
        <v>369</v>
      </c>
      <c r="J92" s="2" t="s">
        <v>525</v>
      </c>
      <c r="K92" t="s">
        <v>1438</v>
      </c>
      <c r="L92" t="s">
        <v>1439</v>
      </c>
      <c r="M92" t="s">
        <v>1440</v>
      </c>
      <c r="N92" t="s">
        <v>1441</v>
      </c>
    </row>
    <row r="93" spans="1:14">
      <c r="A93" s="2" t="s">
        <v>15</v>
      </c>
      <c r="B93" s="2">
        <v>41</v>
      </c>
      <c r="C93" s="2" t="s">
        <v>431</v>
      </c>
      <c r="D93" t="s">
        <v>68</v>
      </c>
      <c r="E93" t="s">
        <v>602</v>
      </c>
      <c r="F93">
        <v>3</v>
      </c>
      <c r="I93" t="s">
        <v>524</v>
      </c>
      <c r="J93" s="2" t="s">
        <v>523</v>
      </c>
      <c r="K93" t="s">
        <v>1442</v>
      </c>
      <c r="L93" t="s">
        <v>1443</v>
      </c>
      <c r="M93" t="s">
        <v>1444</v>
      </c>
      <c r="N93" t="s">
        <v>1445</v>
      </c>
    </row>
    <row r="94" spans="1:14">
      <c r="A94" s="2" t="s">
        <v>15</v>
      </c>
      <c r="B94" s="2">
        <v>42</v>
      </c>
      <c r="C94" s="2" t="s">
        <v>433</v>
      </c>
      <c r="D94" t="s">
        <v>69</v>
      </c>
      <c r="E94" t="s">
        <v>602</v>
      </c>
      <c r="F94">
        <v>3</v>
      </c>
      <c r="I94" t="s">
        <v>522</v>
      </c>
      <c r="J94" s="2" t="s">
        <v>521</v>
      </c>
      <c r="K94" t="s">
        <v>1446</v>
      </c>
      <c r="L94" t="s">
        <v>1447</v>
      </c>
      <c r="M94" t="s">
        <v>1448</v>
      </c>
      <c r="N94" t="s">
        <v>1449</v>
      </c>
    </row>
    <row r="95" spans="1:14">
      <c r="A95" s="2" t="s">
        <v>15</v>
      </c>
      <c r="B95" s="2">
        <v>43</v>
      </c>
      <c r="C95" s="2" t="s">
        <v>435</v>
      </c>
      <c r="D95" t="s">
        <v>616</v>
      </c>
      <c r="E95" t="s">
        <v>602</v>
      </c>
      <c r="F95">
        <v>3</v>
      </c>
      <c r="I95" t="s">
        <v>1086</v>
      </c>
      <c r="J95" s="2" t="s">
        <v>520</v>
      </c>
      <c r="K95" t="s">
        <v>1450</v>
      </c>
      <c r="L95" t="s">
        <v>1451</v>
      </c>
      <c r="M95" t="s">
        <v>1452</v>
      </c>
      <c r="N95" t="s">
        <v>1453</v>
      </c>
    </row>
    <row r="96" spans="1:14">
      <c r="A96" s="2" t="s">
        <v>15</v>
      </c>
      <c r="B96" s="2">
        <v>44</v>
      </c>
      <c r="C96" s="2" t="s">
        <v>437</v>
      </c>
      <c r="D96" t="s">
        <v>606</v>
      </c>
      <c r="E96" t="s">
        <v>602</v>
      </c>
      <c r="F96">
        <v>3</v>
      </c>
      <c r="I96" t="s">
        <v>519</v>
      </c>
      <c r="J96" s="2" t="s">
        <v>518</v>
      </c>
      <c r="K96" t="s">
        <v>1454</v>
      </c>
      <c r="L96" t="s">
        <v>1455</v>
      </c>
      <c r="M96" t="s">
        <v>1456</v>
      </c>
      <c r="N96" t="s">
        <v>1457</v>
      </c>
    </row>
    <row r="97" spans="1:14">
      <c r="A97" s="2" t="s">
        <v>15</v>
      </c>
      <c r="B97" s="2">
        <v>45</v>
      </c>
      <c r="C97" s="2" t="s">
        <v>439</v>
      </c>
      <c r="D97" t="s">
        <v>606</v>
      </c>
      <c r="E97" t="s">
        <v>602</v>
      </c>
      <c r="F97">
        <v>3</v>
      </c>
      <c r="I97" t="s">
        <v>517</v>
      </c>
      <c r="J97" s="2" t="s">
        <v>516</v>
      </c>
      <c r="K97" t="s">
        <v>1458</v>
      </c>
      <c r="L97" t="s">
        <v>1459</v>
      </c>
      <c r="M97" t="s">
        <v>1460</v>
      </c>
      <c r="N97" t="s">
        <v>1461</v>
      </c>
    </row>
    <row r="98" spans="1:14">
      <c r="A98" s="2" t="s">
        <v>15</v>
      </c>
      <c r="B98" s="2">
        <v>46</v>
      </c>
      <c r="C98" s="2" t="s">
        <v>441</v>
      </c>
      <c r="D98" t="s">
        <v>624</v>
      </c>
      <c r="E98" t="s">
        <v>602</v>
      </c>
      <c r="F98">
        <v>3</v>
      </c>
      <c r="I98" t="s">
        <v>938</v>
      </c>
      <c r="J98" s="2" t="s">
        <v>515</v>
      </c>
      <c r="K98" t="s">
        <v>1462</v>
      </c>
      <c r="L98" t="s">
        <v>1463</v>
      </c>
      <c r="M98" t="s">
        <v>1464</v>
      </c>
      <c r="N98" t="s">
        <v>1465</v>
      </c>
    </row>
    <row r="99" spans="1:14">
      <c r="A99" s="2" t="s">
        <v>15</v>
      </c>
      <c r="B99" s="2">
        <v>47</v>
      </c>
      <c r="C99" s="2" t="s">
        <v>443</v>
      </c>
      <c r="D99" t="s">
        <v>624</v>
      </c>
      <c r="E99" t="s">
        <v>602</v>
      </c>
      <c r="F99">
        <v>3</v>
      </c>
      <c r="I99" t="s">
        <v>284</v>
      </c>
      <c r="J99" s="2" t="s">
        <v>514</v>
      </c>
      <c r="K99" t="s">
        <v>1466</v>
      </c>
      <c r="L99" t="s">
        <v>1467</v>
      </c>
      <c r="M99" t="s">
        <v>1468</v>
      </c>
      <c r="N99" t="s">
        <v>1469</v>
      </c>
    </row>
    <row r="100" spans="1:14">
      <c r="A100" s="2" t="s">
        <v>15</v>
      </c>
      <c r="B100" s="2">
        <v>48</v>
      </c>
      <c r="C100" s="2" t="s">
        <v>445</v>
      </c>
      <c r="D100" t="s">
        <v>625</v>
      </c>
      <c r="E100" t="s">
        <v>602</v>
      </c>
      <c r="F100">
        <v>3</v>
      </c>
      <c r="I100" t="s">
        <v>285</v>
      </c>
      <c r="J100" s="2" t="s">
        <v>513</v>
      </c>
      <c r="K100" t="s">
        <v>1470</v>
      </c>
      <c r="L100" t="s">
        <v>1471</v>
      </c>
      <c r="M100" t="s">
        <v>1472</v>
      </c>
      <c r="N100" t="s">
        <v>1473</v>
      </c>
    </row>
    <row r="101" spans="1:14">
      <c r="A101" s="2" t="s">
        <v>15</v>
      </c>
      <c r="B101" s="2">
        <v>49</v>
      </c>
      <c r="C101" s="2" t="s">
        <v>447</v>
      </c>
      <c r="D101" t="s">
        <v>607</v>
      </c>
      <c r="E101" t="s">
        <v>602</v>
      </c>
      <c r="F101">
        <v>3</v>
      </c>
      <c r="I101" t="s">
        <v>286</v>
      </c>
      <c r="J101" s="2" t="s">
        <v>512</v>
      </c>
      <c r="K101" t="s">
        <v>1474</v>
      </c>
      <c r="L101" t="s">
        <v>1475</v>
      </c>
      <c r="M101" t="s">
        <v>1476</v>
      </c>
      <c r="N101" t="s">
        <v>1477</v>
      </c>
    </row>
    <row r="102" spans="1:14">
      <c r="A102" s="2" t="s">
        <v>15</v>
      </c>
      <c r="B102" s="2">
        <v>50</v>
      </c>
      <c r="C102" s="2" t="s">
        <v>274</v>
      </c>
      <c r="D102" t="s">
        <v>611</v>
      </c>
      <c r="E102" t="s">
        <v>609</v>
      </c>
      <c r="F102">
        <v>3</v>
      </c>
      <c r="I102" t="s">
        <v>287</v>
      </c>
      <c r="J102" s="2" t="s">
        <v>511</v>
      </c>
      <c r="K102" t="s">
        <v>1478</v>
      </c>
      <c r="L102" t="s">
        <v>1479</v>
      </c>
      <c r="M102" t="s">
        <v>1480</v>
      </c>
      <c r="N102" t="s">
        <v>1481</v>
      </c>
    </row>
    <row r="103" spans="1:14">
      <c r="A103" s="2" t="s">
        <v>15</v>
      </c>
      <c r="B103" s="2">
        <v>51</v>
      </c>
      <c r="C103" s="2" t="s">
        <v>327</v>
      </c>
      <c r="D103" t="s">
        <v>611</v>
      </c>
      <c r="E103" t="s">
        <v>602</v>
      </c>
      <c r="F103">
        <v>3</v>
      </c>
      <c r="I103" t="s">
        <v>510</v>
      </c>
      <c r="J103" s="2" t="s">
        <v>509</v>
      </c>
      <c r="K103" t="s">
        <v>1482</v>
      </c>
      <c r="L103" t="s">
        <v>1483</v>
      </c>
      <c r="M103" t="s">
        <v>1484</v>
      </c>
      <c r="N103" t="s">
        <v>1485</v>
      </c>
    </row>
    <row r="104" spans="1:14">
      <c r="A104" s="2" t="s">
        <v>15</v>
      </c>
      <c r="B104" s="2">
        <v>52</v>
      </c>
      <c r="C104" s="2" t="s">
        <v>276</v>
      </c>
      <c r="D104" t="s">
        <v>611</v>
      </c>
      <c r="E104" t="s">
        <v>602</v>
      </c>
      <c r="F104">
        <v>3</v>
      </c>
      <c r="I104" t="s">
        <v>463</v>
      </c>
      <c r="J104" s="2" t="s">
        <v>508</v>
      </c>
      <c r="K104" t="s">
        <v>1486</v>
      </c>
      <c r="L104" t="s">
        <v>1487</v>
      </c>
      <c r="M104" t="s">
        <v>1488</v>
      </c>
      <c r="N104" t="s">
        <v>1489</v>
      </c>
    </row>
    <row r="105" spans="1:14">
      <c r="A105" s="2" t="s">
        <v>15</v>
      </c>
      <c r="B105" s="2">
        <v>53</v>
      </c>
      <c r="C105" s="2" t="s">
        <v>281</v>
      </c>
      <c r="D105" t="s">
        <v>611</v>
      </c>
      <c r="E105" t="s">
        <v>602</v>
      </c>
      <c r="F105">
        <v>3</v>
      </c>
      <c r="I105" t="s">
        <v>464</v>
      </c>
      <c r="J105" s="2" t="s">
        <v>507</v>
      </c>
      <c r="K105" t="s">
        <v>1163</v>
      </c>
      <c r="L105" t="s">
        <v>1490</v>
      </c>
      <c r="M105" t="s">
        <v>1165</v>
      </c>
      <c r="N105" t="s">
        <v>1491</v>
      </c>
    </row>
    <row r="106" spans="1:14">
      <c r="A106" s="2" t="s">
        <v>15</v>
      </c>
      <c r="B106" s="2">
        <v>54</v>
      </c>
      <c r="C106" s="2" t="s">
        <v>280</v>
      </c>
      <c r="D106" t="s">
        <v>611</v>
      </c>
      <c r="E106" t="s">
        <v>602</v>
      </c>
      <c r="F106">
        <v>3</v>
      </c>
      <c r="I106" t="s">
        <v>506</v>
      </c>
      <c r="J106" s="2" t="s">
        <v>505</v>
      </c>
      <c r="K106" t="s">
        <v>1492</v>
      </c>
      <c r="L106" t="s">
        <v>1493</v>
      </c>
      <c r="M106" t="s">
        <v>1494</v>
      </c>
      <c r="N106" t="s">
        <v>1495</v>
      </c>
    </row>
    <row r="107" spans="1:14">
      <c r="A107" s="2" t="s">
        <v>15</v>
      </c>
      <c r="B107" s="2">
        <v>55</v>
      </c>
      <c r="C107" s="2" t="s">
        <v>278</v>
      </c>
      <c r="D107" t="s">
        <v>611</v>
      </c>
      <c r="E107" t="s">
        <v>602</v>
      </c>
      <c r="F107">
        <v>3</v>
      </c>
      <c r="I107" t="s">
        <v>504</v>
      </c>
      <c r="J107" s="2" t="s">
        <v>503</v>
      </c>
      <c r="K107" t="s">
        <v>1496</v>
      </c>
      <c r="L107" t="s">
        <v>1497</v>
      </c>
      <c r="M107" t="s">
        <v>1498</v>
      </c>
      <c r="N107" t="s">
        <v>1499</v>
      </c>
    </row>
    <row r="108" spans="1:14">
      <c r="A108" s="2" t="s">
        <v>15</v>
      </c>
      <c r="B108" s="2">
        <v>56</v>
      </c>
      <c r="C108" s="2" t="s">
        <v>279</v>
      </c>
      <c r="D108" t="s">
        <v>611</v>
      </c>
      <c r="E108" t="s">
        <v>602</v>
      </c>
      <c r="F108">
        <v>3</v>
      </c>
      <c r="I108" t="s">
        <v>502</v>
      </c>
      <c r="J108" s="2" t="s">
        <v>501</v>
      </c>
      <c r="K108" t="s">
        <v>1500</v>
      </c>
      <c r="L108" t="s">
        <v>1501</v>
      </c>
      <c r="M108" t="s">
        <v>1502</v>
      </c>
      <c r="N108" t="s">
        <v>1503</v>
      </c>
    </row>
    <row r="109" spans="1:14">
      <c r="A109" s="2" t="s">
        <v>15</v>
      </c>
      <c r="B109" s="2">
        <v>57</v>
      </c>
      <c r="C109" s="2" t="s">
        <v>283</v>
      </c>
      <c r="D109" t="s">
        <v>605</v>
      </c>
      <c r="E109" t="s">
        <v>602</v>
      </c>
      <c r="F109">
        <v>3</v>
      </c>
      <c r="I109" t="s">
        <v>987</v>
      </c>
      <c r="J109" s="2" t="s">
        <v>988</v>
      </c>
      <c r="K109">
        <v>0</v>
      </c>
      <c r="L109">
        <v>0</v>
      </c>
      <c r="M109">
        <v>0</v>
      </c>
      <c r="N109">
        <v>0</v>
      </c>
    </row>
    <row r="110" spans="1:14">
      <c r="A110" s="2" t="s">
        <v>15</v>
      </c>
      <c r="B110" s="2">
        <v>58</v>
      </c>
      <c r="C110" s="2" t="s">
        <v>457</v>
      </c>
      <c r="D110" t="s">
        <v>605</v>
      </c>
      <c r="E110" t="s">
        <v>602</v>
      </c>
      <c r="F110">
        <v>3</v>
      </c>
      <c r="I110" t="s">
        <v>1617</v>
      </c>
      <c r="J110" s="2" t="s">
        <v>1618</v>
      </c>
      <c r="K110" t="s">
        <v>1504</v>
      </c>
      <c r="L110" t="s">
        <v>1505</v>
      </c>
      <c r="M110" t="s">
        <v>1531</v>
      </c>
      <c r="N110" t="s">
        <v>1506</v>
      </c>
    </row>
    <row r="111" spans="1:14">
      <c r="A111" s="2" t="s">
        <v>15</v>
      </c>
      <c r="B111" s="2">
        <v>59</v>
      </c>
      <c r="C111" s="2" t="s">
        <v>938</v>
      </c>
      <c r="D111" t="s">
        <v>605</v>
      </c>
      <c r="E111" t="s">
        <v>602</v>
      </c>
      <c r="F111">
        <v>3</v>
      </c>
      <c r="I111" t="s">
        <v>498</v>
      </c>
      <c r="J111" s="2" t="s">
        <v>497</v>
      </c>
      <c r="K111" t="s">
        <v>1507</v>
      </c>
      <c r="L111" t="s">
        <v>1508</v>
      </c>
      <c r="M111" t="s">
        <v>1509</v>
      </c>
      <c r="N111" t="s">
        <v>1510</v>
      </c>
    </row>
    <row r="112" spans="1:14">
      <c r="A112" s="2" t="s">
        <v>15</v>
      </c>
      <c r="B112" s="2">
        <v>60</v>
      </c>
      <c r="C112" s="2" t="s">
        <v>1025</v>
      </c>
      <c r="D112" t="s">
        <v>605</v>
      </c>
      <c r="E112" t="s">
        <v>602</v>
      </c>
      <c r="F112">
        <v>3</v>
      </c>
      <c r="I112" t="s">
        <v>496</v>
      </c>
      <c r="J112" s="2" t="s">
        <v>495</v>
      </c>
      <c r="K112" t="s">
        <v>1511</v>
      </c>
      <c r="L112" t="s">
        <v>1512</v>
      </c>
      <c r="M112" t="s">
        <v>1513</v>
      </c>
      <c r="N112" t="s">
        <v>1514</v>
      </c>
    </row>
    <row r="113" spans="1:14">
      <c r="A113" s="2" t="s">
        <v>15</v>
      </c>
      <c r="B113" s="2">
        <v>61</v>
      </c>
      <c r="C113" s="2" t="s">
        <v>284</v>
      </c>
      <c r="D113" t="s">
        <v>605</v>
      </c>
      <c r="E113" t="s">
        <v>602</v>
      </c>
      <c r="F113">
        <v>3</v>
      </c>
      <c r="I113" t="s">
        <v>494</v>
      </c>
      <c r="J113" s="2" t="s">
        <v>493</v>
      </c>
      <c r="K113" t="s">
        <v>1515</v>
      </c>
      <c r="L113" t="s">
        <v>1516</v>
      </c>
      <c r="M113" t="s">
        <v>1517</v>
      </c>
      <c r="N113" t="s">
        <v>1518</v>
      </c>
    </row>
    <row r="114" spans="1:14">
      <c r="A114" s="2" t="s">
        <v>15</v>
      </c>
      <c r="B114" s="2">
        <v>62</v>
      </c>
      <c r="C114" s="2" t="s">
        <v>285</v>
      </c>
      <c r="D114" t="s">
        <v>605</v>
      </c>
      <c r="E114" t="s">
        <v>602</v>
      </c>
      <c r="F114">
        <v>3</v>
      </c>
      <c r="I114" t="s">
        <v>492</v>
      </c>
      <c r="J114" s="2" t="s">
        <v>492</v>
      </c>
      <c r="K114" t="s">
        <v>1519</v>
      </c>
      <c r="L114" t="s">
        <v>492</v>
      </c>
      <c r="M114" t="s">
        <v>492</v>
      </c>
      <c r="N114" t="s">
        <v>1520</v>
      </c>
    </row>
    <row r="115" spans="1:14">
      <c r="A115" s="2" t="s">
        <v>15</v>
      </c>
      <c r="B115" s="2">
        <v>63</v>
      </c>
      <c r="C115" s="2" t="s">
        <v>286</v>
      </c>
      <c r="D115" t="s">
        <v>605</v>
      </c>
      <c r="E115" t="s">
        <v>602</v>
      </c>
      <c r="F115">
        <v>3</v>
      </c>
      <c r="I115" t="s">
        <v>491</v>
      </c>
      <c r="J115" s="2" t="s">
        <v>1023</v>
      </c>
      <c r="K115" t="s">
        <v>1521</v>
      </c>
      <c r="L115" t="s">
        <v>1522</v>
      </c>
      <c r="M115" t="s">
        <v>1523</v>
      </c>
      <c r="N115" t="s">
        <v>1524</v>
      </c>
    </row>
    <row r="116" spans="1:14">
      <c r="A116" s="2" t="s">
        <v>15</v>
      </c>
      <c r="B116" s="2">
        <v>64</v>
      </c>
      <c r="C116" s="2" t="s">
        <v>287</v>
      </c>
      <c r="D116" t="s">
        <v>605</v>
      </c>
      <c r="E116" t="s">
        <v>602</v>
      </c>
      <c r="F116">
        <v>3</v>
      </c>
      <c r="I116" t="s">
        <v>490</v>
      </c>
      <c r="J116" s="2" t="s">
        <v>1024</v>
      </c>
      <c r="K116" t="s">
        <v>1525</v>
      </c>
      <c r="L116" t="s">
        <v>1526</v>
      </c>
      <c r="M116" t="s">
        <v>1527</v>
      </c>
      <c r="N116" t="s">
        <v>1528</v>
      </c>
    </row>
    <row r="117" spans="1:14">
      <c r="A117" s="2" t="s">
        <v>15</v>
      </c>
      <c r="B117" s="2">
        <v>65</v>
      </c>
      <c r="C117" s="2" t="s">
        <v>510</v>
      </c>
      <c r="D117" t="s">
        <v>605</v>
      </c>
      <c r="E117" t="s">
        <v>602</v>
      </c>
      <c r="F117">
        <v>3</v>
      </c>
      <c r="I117" t="s">
        <v>282</v>
      </c>
      <c r="J117" s="2" t="s">
        <v>489</v>
      </c>
      <c r="K117" t="s">
        <v>473</v>
      </c>
      <c r="L117" t="s">
        <v>473</v>
      </c>
      <c r="M117" t="s">
        <v>473</v>
      </c>
      <c r="N117" t="s">
        <v>473</v>
      </c>
    </row>
    <row r="118" spans="1:14">
      <c r="A118" s="2" t="s">
        <v>15</v>
      </c>
      <c r="B118" s="2">
        <v>66</v>
      </c>
      <c r="C118" s="2" t="s">
        <v>463</v>
      </c>
      <c r="D118" t="s">
        <v>605</v>
      </c>
      <c r="E118" t="s">
        <v>602</v>
      </c>
      <c r="F118">
        <v>3</v>
      </c>
      <c r="I118" t="s">
        <v>1546</v>
      </c>
      <c r="J118" s="2" t="s">
        <v>1547</v>
      </c>
      <c r="K118" t="s">
        <v>473</v>
      </c>
      <c r="L118" t="s">
        <v>473</v>
      </c>
      <c r="M118" t="s">
        <v>473</v>
      </c>
      <c r="N118" t="s">
        <v>473</v>
      </c>
    </row>
    <row r="119" spans="1:14">
      <c r="A119" s="2" t="s">
        <v>15</v>
      </c>
      <c r="B119" s="2">
        <v>67</v>
      </c>
      <c r="C119" s="2" t="s">
        <v>464</v>
      </c>
      <c r="D119" t="s">
        <v>605</v>
      </c>
      <c r="E119" t="s">
        <v>602</v>
      </c>
      <c r="F119">
        <v>3</v>
      </c>
      <c r="I119" t="s">
        <v>1001</v>
      </c>
      <c r="J119" s="2" t="s">
        <v>1002</v>
      </c>
      <c r="K119" t="s">
        <v>473</v>
      </c>
      <c r="L119" t="s">
        <v>473</v>
      </c>
      <c r="M119" t="s">
        <v>473</v>
      </c>
      <c r="N119" t="s">
        <v>473</v>
      </c>
    </row>
    <row r="120" spans="1:14">
      <c r="A120" s="2" t="s">
        <v>15</v>
      </c>
      <c r="B120" s="2">
        <v>68</v>
      </c>
      <c r="C120" s="2" t="s">
        <v>506</v>
      </c>
      <c r="D120" t="s">
        <v>626</v>
      </c>
      <c r="E120" t="s">
        <v>602</v>
      </c>
      <c r="F120">
        <v>3</v>
      </c>
      <c r="I120" t="s">
        <v>1085</v>
      </c>
      <c r="J120" s="2" t="s">
        <v>1003</v>
      </c>
      <c r="K120" t="s">
        <v>473</v>
      </c>
      <c r="L120" t="s">
        <v>473</v>
      </c>
      <c r="M120" t="s">
        <v>473</v>
      </c>
      <c r="N120" t="s">
        <v>473</v>
      </c>
    </row>
    <row r="121" spans="1:14">
      <c r="A121" s="2" t="s">
        <v>15</v>
      </c>
      <c r="B121" s="2">
        <v>69</v>
      </c>
      <c r="C121" s="2" t="s">
        <v>504</v>
      </c>
      <c r="D121" t="s">
        <v>627</v>
      </c>
      <c r="E121" t="s">
        <v>613</v>
      </c>
      <c r="F121">
        <v>3</v>
      </c>
      <c r="I121" t="s">
        <v>943</v>
      </c>
      <c r="J121" s="2" t="s">
        <v>1010</v>
      </c>
      <c r="K121" t="s">
        <v>473</v>
      </c>
      <c r="L121" t="s">
        <v>473</v>
      </c>
      <c r="M121" t="s">
        <v>473</v>
      </c>
      <c r="N121" t="s">
        <v>473</v>
      </c>
    </row>
    <row r="122" spans="1:14">
      <c r="A122" s="2" t="s">
        <v>15</v>
      </c>
      <c r="B122" s="2">
        <v>70</v>
      </c>
      <c r="C122" s="2" t="s">
        <v>502</v>
      </c>
      <c r="D122" t="s">
        <v>628</v>
      </c>
      <c r="E122" t="s">
        <v>602</v>
      </c>
      <c r="F122">
        <v>3</v>
      </c>
      <c r="I122" t="s">
        <v>946</v>
      </c>
      <c r="J122" s="2" t="s">
        <v>1011</v>
      </c>
      <c r="K122" t="s">
        <v>473</v>
      </c>
      <c r="L122" t="s">
        <v>473</v>
      </c>
      <c r="M122" t="s">
        <v>473</v>
      </c>
      <c r="N122" t="s">
        <v>473</v>
      </c>
    </row>
    <row r="123" spans="1:14">
      <c r="A123" s="2" t="s">
        <v>15</v>
      </c>
      <c r="B123" s="2">
        <v>71</v>
      </c>
      <c r="C123" s="2" t="s">
        <v>987</v>
      </c>
      <c r="D123" t="s">
        <v>629</v>
      </c>
      <c r="E123" t="s">
        <v>613</v>
      </c>
      <c r="F123">
        <v>3</v>
      </c>
      <c r="I123" t="s">
        <v>949</v>
      </c>
      <c r="J123" s="2" t="s">
        <v>1012</v>
      </c>
      <c r="K123" t="s">
        <v>473</v>
      </c>
      <c r="L123" t="s">
        <v>473</v>
      </c>
      <c r="M123" t="s">
        <v>473</v>
      </c>
      <c r="N123" t="s">
        <v>473</v>
      </c>
    </row>
    <row r="124" spans="1:14">
      <c r="A124" s="2" t="s">
        <v>15</v>
      </c>
      <c r="B124" s="2">
        <v>72</v>
      </c>
      <c r="C124" s="2" t="s">
        <v>1617</v>
      </c>
      <c r="D124" t="s">
        <v>629</v>
      </c>
      <c r="E124" t="s">
        <v>602</v>
      </c>
      <c r="F124">
        <v>3</v>
      </c>
      <c r="I124" t="s">
        <v>952</v>
      </c>
      <c r="J124" s="2" t="s">
        <v>1013</v>
      </c>
      <c r="K124" t="s">
        <v>473</v>
      </c>
      <c r="L124" t="s">
        <v>473</v>
      </c>
      <c r="M124" t="s">
        <v>473</v>
      </c>
      <c r="N124" t="s">
        <v>473</v>
      </c>
    </row>
    <row r="125" spans="1:14">
      <c r="A125" s="2" t="s">
        <v>15</v>
      </c>
      <c r="B125" s="2">
        <v>73</v>
      </c>
      <c r="C125" s="2" t="s">
        <v>498</v>
      </c>
      <c r="D125" t="s">
        <v>614</v>
      </c>
      <c r="E125" t="s">
        <v>613</v>
      </c>
      <c r="F125">
        <v>3</v>
      </c>
      <c r="I125" t="s">
        <v>1020</v>
      </c>
      <c r="J125" s="2" t="s">
        <v>1021</v>
      </c>
      <c r="K125" t="s">
        <v>473</v>
      </c>
      <c r="L125" t="s">
        <v>473</v>
      </c>
      <c r="M125" t="s">
        <v>473</v>
      </c>
      <c r="N125" t="s">
        <v>473</v>
      </c>
    </row>
    <row r="126" spans="1:14">
      <c r="A126" s="2" t="s">
        <v>15</v>
      </c>
      <c r="B126" s="2">
        <v>74</v>
      </c>
      <c r="C126" s="2" t="s">
        <v>491</v>
      </c>
      <c r="D126" t="s">
        <v>630</v>
      </c>
      <c r="E126" t="s">
        <v>602</v>
      </c>
      <c r="F126">
        <v>3</v>
      </c>
      <c r="I126" t="s">
        <v>1025</v>
      </c>
      <c r="J126" s="2" t="s">
        <v>1026</v>
      </c>
      <c r="K126" t="s">
        <v>473</v>
      </c>
      <c r="L126" t="s">
        <v>473</v>
      </c>
      <c r="M126" t="s">
        <v>473</v>
      </c>
      <c r="N126" t="s">
        <v>473</v>
      </c>
    </row>
    <row r="127" spans="1:14">
      <c r="A127" s="2" t="s">
        <v>15</v>
      </c>
      <c r="B127" s="2">
        <v>75</v>
      </c>
      <c r="C127" s="2" t="s">
        <v>490</v>
      </c>
      <c r="D127" t="s">
        <v>630</v>
      </c>
      <c r="E127" t="s">
        <v>602</v>
      </c>
      <c r="F127">
        <v>3</v>
      </c>
      <c r="I127" s="2" t="s">
        <v>1581</v>
      </c>
      <c r="J127" t="s">
        <v>473</v>
      </c>
      <c r="K127" t="s">
        <v>473</v>
      </c>
      <c r="L127" t="s">
        <v>473</v>
      </c>
      <c r="M127" t="s">
        <v>473</v>
      </c>
      <c r="N127" t="s">
        <v>473</v>
      </c>
    </row>
    <row r="128" spans="1:14">
      <c r="I128" s="2" t="s">
        <v>1585</v>
      </c>
      <c r="J128" t="s">
        <v>473</v>
      </c>
      <c r="K128" t="s">
        <v>473</v>
      </c>
      <c r="L128" t="s">
        <v>473</v>
      </c>
      <c r="M128" t="s">
        <v>473</v>
      </c>
      <c r="N128" t="s">
        <v>473</v>
      </c>
    </row>
    <row r="129" spans="9:14">
      <c r="I129" s="2" t="s">
        <v>1588</v>
      </c>
      <c r="J129" t="s">
        <v>473</v>
      </c>
      <c r="K129" t="s">
        <v>473</v>
      </c>
      <c r="L129" t="s">
        <v>473</v>
      </c>
      <c r="M129" t="s">
        <v>473</v>
      </c>
      <c r="N129" t="s">
        <v>473</v>
      </c>
    </row>
    <row r="130" spans="9:14">
      <c r="I130" s="2" t="s">
        <v>1591</v>
      </c>
      <c r="J130" t="s">
        <v>473</v>
      </c>
      <c r="K130" t="s">
        <v>473</v>
      </c>
      <c r="L130" t="s">
        <v>473</v>
      </c>
      <c r="M130" t="s">
        <v>473</v>
      </c>
      <c r="N130" t="s">
        <v>473</v>
      </c>
    </row>
    <row r="131" spans="9:14">
      <c r="I131" s="2" t="s">
        <v>1594</v>
      </c>
      <c r="J131" t="s">
        <v>473</v>
      </c>
      <c r="K131" t="s">
        <v>473</v>
      </c>
      <c r="L131" t="s">
        <v>473</v>
      </c>
      <c r="M131" t="s">
        <v>473</v>
      </c>
      <c r="N131" t="s">
        <v>473</v>
      </c>
    </row>
    <row r="132" spans="9:14">
      <c r="I132" s="2" t="s">
        <v>1598</v>
      </c>
      <c r="J132" t="s">
        <v>473</v>
      </c>
      <c r="K132" t="s">
        <v>473</v>
      </c>
      <c r="L132" t="s">
        <v>473</v>
      </c>
      <c r="M132" t="s">
        <v>473</v>
      </c>
      <c r="N132" t="s">
        <v>473</v>
      </c>
    </row>
  </sheetData>
  <dataConsolidate/>
  <phoneticPr fontId="125" type="noConversion"/>
  <conditionalFormatting sqref="I127:I132">
    <cfRule type="cellIs" dxfId="5" priority="6" operator="equal">
      <formula>"Not"</formula>
    </cfRule>
  </conditionalFormatting>
  <conditionalFormatting sqref="I131">
    <cfRule type="expression" dxfId="4" priority="5">
      <formula>$G131="False"</formula>
    </cfRule>
  </conditionalFormatting>
  <conditionalFormatting sqref="I132">
    <cfRule type="expression" dxfId="3" priority="4">
      <formula>$G132="False"</formula>
    </cfRule>
  </conditionalFormatting>
  <conditionalFormatting sqref="C33:C38">
    <cfRule type="cellIs" dxfId="2" priority="3" operator="equal">
      <formula>"Not"</formula>
    </cfRule>
  </conditionalFormatting>
  <conditionalFormatting sqref="C37">
    <cfRule type="expression" dxfId="1" priority="2">
      <formula>$G37="False"</formula>
    </cfRule>
  </conditionalFormatting>
  <conditionalFormatting sqref="C38">
    <cfRule type="expression" dxfId="0" priority="1">
      <formula>$G38="False"</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6</vt:i4>
      </vt:variant>
    </vt:vector>
  </HeadingPairs>
  <TitlesOfParts>
    <vt:vector size="6" baseType="lpstr">
      <vt:lpstr>AppWarningConfig</vt:lpstr>
      <vt:lpstr>WarningConfig</vt:lpstr>
      <vt:lpstr>WarningHelper</vt:lpstr>
      <vt:lpstr>WrnTextTobeGenerated</vt:lpstr>
      <vt:lpstr>Sheet2</vt:lpstr>
      <vt:lpstr>UEInput</vt:lpstr>
    </vt:vector>
  </TitlesOfParts>
  <Company>Siemens VDO Automotive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uidf2456</dc:creator>
  <cp:lastModifiedBy>wei xie</cp:lastModifiedBy>
  <cp:lastPrinted>2010-01-08T14:39:26Z</cp:lastPrinted>
  <dcterms:created xsi:type="dcterms:W3CDTF">2009-10-08T11:27:40Z</dcterms:created>
  <dcterms:modified xsi:type="dcterms:W3CDTF">2017-08-16T14:18:39Z</dcterms:modified>
</cp:coreProperties>
</file>